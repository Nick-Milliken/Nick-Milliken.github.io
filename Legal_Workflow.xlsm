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01" codeName="{B6124F1A-AFFB-F854-7757-9A1D4C6FC43C}"/>
  <workbookPr codeName="ThisWorkbook" hidePivotFieldList="1" defaultThemeVersion="166925"/>
  <mc:AlternateContent xmlns:mc="http://schemas.openxmlformats.org/markup-compatibility/2006">
    <mc:Choice Requires="x15">
      <x15ac:absPath xmlns:x15ac="http://schemas.microsoft.com/office/spreadsheetml/2010/11/ac" url="C:\Users\nmill\Downloads\Freelancer_jobs\Rdakis_excel_Project\"/>
    </mc:Choice>
  </mc:AlternateContent>
  <xr:revisionPtr revIDLastSave="0" documentId="13_ncr:1_{85F1865C-1453-4550-A28F-42540AADC805}" xr6:coauthVersionLast="47" xr6:coauthVersionMax="47" xr10:uidLastSave="{00000000-0000-0000-0000-000000000000}"/>
  <bookViews>
    <workbookView xWindow="-108" yWindow="-108" windowWidth="23256" windowHeight="11964" activeTab="6" xr2:uid="{37ABA7B6-9E84-024A-8392-75F3996C9B2E}"/>
  </bookViews>
  <sheets>
    <sheet name="Master Table" sheetId="1" r:id="rId1"/>
    <sheet name="Jason" sheetId="8" r:id="rId2"/>
    <sheet name="Steve" sheetId="2" r:id="rId3"/>
    <sheet name="Emily" sheetId="4" r:id="rId4"/>
    <sheet name="Aarav" sheetId="5" r:id="rId5"/>
    <sheet name="Dwayne" sheetId="10" r:id="rId6"/>
    <sheet name="Test_Example" sheetId="11" r:id="rId7"/>
  </sheets>
  <definedNames>
    <definedName name="_xlnm._FilterDatabase" localSheetId="4" hidden="1">Aarav!$A$3:$E$9</definedName>
    <definedName name="_xlnm._FilterDatabase" localSheetId="5" hidden="1">Dwayne!$A$3:$E$7</definedName>
    <definedName name="_xlnm._FilterDatabase" localSheetId="3" hidden="1">Emily!$A$3:$E$8</definedName>
    <definedName name="_xlnm._FilterDatabase" localSheetId="1" hidden="1">Jason!$A$3:$E$8</definedName>
    <definedName name="_xlnm._FilterDatabase" localSheetId="0" hidden="1">'Master Table'!$A$3:$F$18</definedName>
    <definedName name="_xlnm._FilterDatabase" localSheetId="2" hidden="1">Steve!$A$3:$E$7</definedName>
    <definedName name="_xlnm._FilterDatabase" localSheetId="6" hidden="1">Test_Example!$A$3:$E$4</definedName>
    <definedName name="_xlnm.Criteria" localSheetId="4">Aarav!$I$2:$I$3</definedName>
    <definedName name="_xlnm.Criteria" localSheetId="5">Dwayne!$I$2:$I$3</definedName>
    <definedName name="_xlnm.Criteria" localSheetId="3">Emily!$I$2:$I$3</definedName>
    <definedName name="_xlnm.Criteria" localSheetId="1">Jason!$I$3:$I$4</definedName>
    <definedName name="_xlnm.Criteria" localSheetId="2">Steve!$I$3:$I$4</definedName>
    <definedName name="_xlnm.Criteria" localSheetId="6">Test_Example!$I$1:$I$2</definedName>
    <definedName name="_xlnm.Extract" localSheetId="4">Aarav!$A$3:$D$3</definedName>
    <definedName name="_xlnm.Extract" localSheetId="5">Dwayne!$G$9:$I$9</definedName>
    <definedName name="_xlnm.Extract" localSheetId="3">Emily!$A$3:$D$3</definedName>
    <definedName name="_xlnm.Extract" localSheetId="1">Jason!$A$3:$D$3</definedName>
    <definedName name="_xlnm.Extract" localSheetId="2">Steve!$A$3:$D$3</definedName>
    <definedName name="_xlnm.Extract" localSheetId="6">Test_Example!$G$4:$I$4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E4" i="11" l="1"/>
  <c r="B1" i="11"/>
  <c r="E4" i="2"/>
  <c r="E5" i="2"/>
  <c r="E7" i="2"/>
  <c r="E6" i="5"/>
  <c r="E7" i="5"/>
  <c r="E8" i="5"/>
  <c r="E9" i="5"/>
  <c r="E6" i="4"/>
  <c r="E7" i="4"/>
  <c r="E8" i="4"/>
  <c r="E8" i="8"/>
  <c r="E6" i="2"/>
  <c r="E4" i="10"/>
  <c r="E5" i="10"/>
  <c r="E6" i="10"/>
  <c r="E7" i="10"/>
  <c r="B1" i="10"/>
  <c r="E4" i="8"/>
  <c r="E5" i="8"/>
  <c r="E6" i="8"/>
  <c r="E7" i="8"/>
  <c r="E4" i="4"/>
  <c r="E5" i="4"/>
  <c r="E4" i="5"/>
  <c r="E5" i="5"/>
  <c r="B1" i="5"/>
  <c r="B1" i="4"/>
  <c r="B1" i="8"/>
  <c r="B1" i="2"/>
</calcChain>
</file>

<file path=xl/sharedStrings.xml><?xml version="1.0" encoding="utf-8"?>
<sst xmlns="http://schemas.openxmlformats.org/spreadsheetml/2006/main" count="167" uniqueCount="55">
  <si>
    <t>Business Contact</t>
  </si>
  <si>
    <t>Task</t>
  </si>
  <si>
    <t>Date Assigned</t>
  </si>
  <si>
    <t>Date to Be Completed</t>
  </si>
  <si>
    <t>Date Completed</t>
  </si>
  <si>
    <t>Notes</t>
  </si>
  <si>
    <t>Jason</t>
  </si>
  <si>
    <t>Business Person</t>
  </si>
  <si>
    <t>Steve</t>
  </si>
  <si>
    <t>Emily</t>
  </si>
  <si>
    <t>Aarav</t>
  </si>
  <si>
    <t>Dwayne</t>
  </si>
  <si>
    <t xml:space="preserve">Create Master Table for Project </t>
  </si>
  <si>
    <t>Double check all formulas and logic</t>
  </si>
  <si>
    <t>Format Tables and cells Appropriately</t>
  </si>
  <si>
    <t>Business Person:</t>
  </si>
  <si>
    <t>Test task 1</t>
  </si>
  <si>
    <t>Bake Cookies</t>
  </si>
  <si>
    <t>Test</t>
  </si>
  <si>
    <t>Try</t>
  </si>
  <si>
    <t>Go</t>
  </si>
  <si>
    <t>Back</t>
  </si>
  <si>
    <t xml:space="preserve">And </t>
  </si>
  <si>
    <t>Forth</t>
  </si>
  <si>
    <t>Eternity</t>
  </si>
  <si>
    <t>Twelve</t>
  </si>
  <si>
    <t>Jaunuary</t>
  </si>
  <si>
    <t xml:space="preserve">Pickle Rick </t>
  </si>
  <si>
    <t>Check Advanced filters</t>
  </si>
  <si>
    <t xml:space="preserve">Auto Update Check </t>
  </si>
  <si>
    <t xml:space="preserve">Master Table </t>
  </si>
  <si>
    <t>Test task 2</t>
  </si>
  <si>
    <t>Test task 3</t>
  </si>
  <si>
    <t>Test task 4</t>
  </si>
  <si>
    <t>Test task 5</t>
  </si>
  <si>
    <t>Test task 6</t>
  </si>
  <si>
    <t>Bake Cookies 2</t>
  </si>
  <si>
    <t>Bake Cookies 3</t>
  </si>
  <si>
    <t>Make a cake</t>
  </si>
  <si>
    <t>Eggs</t>
  </si>
  <si>
    <t>5 Days Prior</t>
  </si>
  <si>
    <t>CTRL-SHFT+S TO RUN UPDATE</t>
  </si>
  <si>
    <t>CTRL-SHFT+A TO UPDATE</t>
  </si>
  <si>
    <t>CTRL-SHFT+D FOR UPDATE</t>
  </si>
  <si>
    <t xml:space="preserve"> </t>
  </si>
  <si>
    <t>CTRL-SHFT+J FOR UPDATE</t>
  </si>
  <si>
    <t>Test_Example</t>
  </si>
  <si>
    <t>CTRL-SHFT+Q TO UPDATE MANUALLY</t>
  </si>
  <si>
    <t>CTRL-SHFT+W TO UPDATE MANUALLY</t>
  </si>
  <si>
    <t>CTRL-SHFT+R TO UPDATE MANUALLY</t>
  </si>
  <si>
    <t>CTRL-SHFT+E FOR UPDATE</t>
  </si>
  <si>
    <t>CTRL-SHFT+T TO UPDATE MANUALLY</t>
  </si>
  <si>
    <t>CTRL-SHFT+Y TO UPDATE MANUALLY</t>
  </si>
  <si>
    <t>CTRL-SHFT+P TO UPDATE</t>
  </si>
  <si>
    <t>CTRL-SHFT+O TO UPDATE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</si>
</sst>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7" x14ac:knownFonts="1">
    <font>
      <sz val="12"/>
      <color theme="1"/>
      <name val="Calibri"/>
      <family val="2"/>
      <scheme val="minor"/>
    </font>
    <font>
      <sz val="12"/>
      <color theme="0"/>
      <name val="Calibri"/>
      <family val="2"/>
      <scheme val="minor"/>
    </font>
    <font>
      <b/>
      <sz val="12"/>
      <color theme="0"/>
      <name val="Calibri"/>
      <family val="2"/>
      <scheme val="minor"/>
    </font>
    <font>
      <b/>
      <u/>
      <sz val="12"/>
      <color theme="1"/>
      <name val="Calibri"/>
      <family val="2"/>
      <scheme val="minor"/>
    </font>
    <font>
      <b/>
      <sz val="24"/>
      <color theme="1"/>
      <name val="Calibri"/>
      <family val="2"/>
      <scheme val="minor"/>
    </font>
    <font>
      <sz val="8"/>
      <name val="Calibri"/>
      <family val="2"/>
      <scheme val="minor"/>
    </font>
    <font>
      <sz val="12"/>
      <name val="Calibri"/>
      <family val="2"/>
      <scheme val="minor"/>
    </font>
  </fonts>
  <fills count="10">
    <fill>
      <patternFill patternType="none"/>
    </fill>
    <fill>
      <patternFill patternType="gray125"/>
    </fill>
    <fill>
      <patternFill patternType="solid">
        <fgColor theme="4" tint="0.39997558519241921"/>
        <bgColor indexed="64"/>
      </patternFill>
    </fill>
    <fill>
      <patternFill patternType="solid">
        <fgColor theme="9" tint="0.79998168889431442"/>
        <bgColor indexed="64"/>
      </patternFill>
    </fill>
    <fill>
      <patternFill patternType="solid">
        <fgColor theme="4"/>
        <bgColor theme="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gradientFill degree="90">
        <stop position="0">
          <color theme="0"/>
        </stop>
        <stop position="1">
          <color theme="4"/>
        </stop>
      </gradientFill>
    </fill>
    <fill>
      <patternFill patternType="solid">
        <fgColor theme="5"/>
        <bgColor indexed="64"/>
      </patternFill>
    </fill>
  </fills>
  <borders count="9">
    <border>
      <left/>
      <right/>
      <top/>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slantDashDot">
        <color auto="1"/>
      </left>
      <right style="slantDashDot">
        <color auto="1"/>
      </right>
      <top style="slantDashDot">
        <color auto="1"/>
      </top>
      <bottom style="slantDashDot">
        <color auto="1"/>
      </bottom>
      <diagonal/>
    </border>
    <border>
      <left/>
      <right/>
      <top/>
      <bottom style="thin">
        <color theme="4" tint="0.39997558519241921"/>
      </bottom>
      <diagonal/>
    </border>
    <border>
      <left style="thin">
        <color theme="4" tint="0.39997558519241921"/>
      </left>
      <right/>
      <top/>
      <bottom style="thin">
        <color theme="4" tint="0.39997558519241921"/>
      </bottom>
      <diagonal/>
    </border>
    <border>
      <left/>
      <right style="thin">
        <color theme="4" tint="0.39997558519241921"/>
      </right>
      <top/>
      <bottom style="thin">
        <color theme="4" tint="0.39997558519241921"/>
      </bottom>
      <diagonal/>
    </border>
    <border>
      <left style="thin">
        <color theme="4" tint="0.39994506668294322"/>
      </left>
      <right/>
      <top/>
      <bottom/>
      <diagonal/>
    </border>
    <border>
      <left/>
      <right style="thin">
        <color theme="4" tint="0.39997558519241921"/>
      </right>
      <top style="thin">
        <color theme="4" tint="0.39997558519241921"/>
      </top>
      <bottom style="thin">
        <color theme="4" tint="0.39997558519241921"/>
      </bottom>
      <diagonal/>
    </border>
  </borders>
  <cellStyleXfs count="1">
    <xf numFmtId="0" fontId="0" fillId="0" borderId="0"/>
  </cellStyleXfs>
  <cellXfs count="31">
    <xf numFmtId="0" fontId="0" fillId="0" borderId="0" xfId="0"/>
    <xf numFmtId="14" fontId="0" fillId="0" borderId="0" xfId="0" applyNumberFormat="1"/>
    <xf numFmtId="0" fontId="0" fillId="2" borderId="0" xfId="0" applyFill="1"/>
    <xf numFmtId="0" fontId="0" fillId="0" borderId="0" xfId="0" applyNumberFormat="1"/>
    <xf numFmtId="14" fontId="0" fillId="3" borderId="0" xfId="0" applyNumberFormat="1" applyFill="1"/>
    <xf numFmtId="0" fontId="2" fillId="4" borderId="1" xfId="0" applyFont="1" applyFill="1" applyBorder="1"/>
    <xf numFmtId="0" fontId="2" fillId="4" borderId="2" xfId="0" applyFont="1" applyFill="1" applyBorder="1"/>
    <xf numFmtId="0" fontId="3" fillId="0" borderId="0" xfId="0" applyFont="1"/>
    <xf numFmtId="164" fontId="0" fillId="5" borderId="0" xfId="0" applyNumberFormat="1" applyFill="1"/>
    <xf numFmtId="164" fontId="0" fillId="7" borderId="0" xfId="0" applyNumberFormat="1" applyFill="1"/>
    <xf numFmtId="164" fontId="0" fillId="6" borderId="0" xfId="0" applyNumberFormat="1" applyFill="1"/>
    <xf numFmtId="0" fontId="0" fillId="0" borderId="0" xfId="0" applyFont="1"/>
    <xf numFmtId="0" fontId="4" fillId="8" borderId="3" xfId="0" applyFont="1" applyFill="1" applyBorder="1" applyAlignment="1">
      <alignment horizontal="center" vertical="center"/>
    </xf>
    <xf numFmtId="0" fontId="2" fillId="4" borderId="4" xfId="0" applyFont="1" applyFill="1" applyBorder="1"/>
    <xf numFmtId="0" fontId="2" fillId="4" borderId="0" xfId="0" applyFont="1" applyFill="1" applyBorder="1"/>
    <xf numFmtId="0" fontId="2" fillId="4" borderId="5" xfId="0" applyFont="1" applyFill="1" applyBorder="1"/>
    <xf numFmtId="0" fontId="2" fillId="4" borderId="6" xfId="0" applyFont="1" applyFill="1" applyBorder="1"/>
    <xf numFmtId="164" fontId="0" fillId="0" borderId="0" xfId="0" applyNumberFormat="1" applyFill="1"/>
    <xf numFmtId="0" fontId="6" fillId="9" borderId="0" xfId="0" applyFont="1" applyFill="1"/>
    <xf numFmtId="0" fontId="0" fillId="9" borderId="0" xfId="0" applyFill="1"/>
    <xf numFmtId="14" fontId="2" fillId="4" borderId="4" xfId="0" applyNumberFormat="1" applyFont="1" applyFill="1" applyBorder="1"/>
    <xf numFmtId="0" fontId="0" fillId="0" borderId="0" xfId="0" applyFill="1"/>
    <xf numFmtId="0" fontId="1" fillId="0" borderId="0" xfId="0" applyFont="1" applyFill="1"/>
    <xf numFmtId="0" fontId="0" fillId="0" borderId="0" xfId="0" applyFont="1" applyFill="1"/>
    <xf numFmtId="0" fontId="0" fillId="9" borderId="7" xfId="0" applyFill="1" applyBorder="1" applyAlignment="1"/>
    <xf numFmtId="0" fontId="0" fillId="0" borderId="0" xfId="0" applyAlignment="1"/>
    <xf numFmtId="14" fontId="0" fillId="9" borderId="0" xfId="0" applyNumberFormat="1" applyFill="1" applyAlignment="1"/>
    <xf numFmtId="0" fontId="0" fillId="9" borderId="4" xfId="0" applyFill="1" applyBorder="1" applyAlignment="1"/>
    <xf numFmtId="0" fontId="0" fillId="0" borderId="4" xfId="0" applyBorder="1" applyAlignment="1"/>
    <xf numFmtId="0" fontId="0" fillId="9" borderId="0" xfId="0" applyFill="1" applyAlignment="1"/>
    <xf numFmtId="0" fontId="2" fillId="4" borderId="8" xfId="0" applyFont="1" applyFill="1" applyBorder="1"/>
  </cellXfs>
  <cellStyles count="1">
    <cellStyle name="Normal" xfId="0" builtinId="0"/>
  </cellStyles>
  <dxfs count="39">
    <dxf>
      <font>
        <b/>
        <i val="0"/>
        <strike val="0"/>
        <condense val="0"/>
        <extend val="0"/>
        <outline val="0"/>
        <shadow val="0"/>
        <u val="none"/>
        <vertAlign val="baseline"/>
        <sz val="12"/>
        <color theme="0"/>
        <name val="Calibri"/>
        <family val="2"/>
        <scheme val="minor"/>
      </font>
      <fill>
        <patternFill patternType="solid">
          <fgColor theme="4"/>
          <bgColor theme="4"/>
        </patternFill>
      </fill>
    </dxf>
    <dxf>
      <border outline="0">
        <bottom style="thin">
          <color theme="4" tint="0.39997558519241921"/>
        </bottom>
      </border>
    </dxf>
    <dxf>
      <border outline="0">
        <top style="thin">
          <color theme="4" tint="0.39997558519241921"/>
        </top>
      </border>
    </dxf>
    <dxf>
      <font>
        <b/>
        <i val="0"/>
        <strike val="0"/>
        <condense val="0"/>
        <extend val="0"/>
        <outline val="0"/>
        <shadow val="0"/>
        <u val="none"/>
        <vertAlign val="baseline"/>
        <sz val="12"/>
        <color theme="0"/>
        <name val="Calibri"/>
        <family val="2"/>
        <scheme val="minor"/>
      </font>
      <fill>
        <patternFill patternType="solid">
          <fgColor theme="4"/>
          <bgColor theme="4"/>
        </patternFill>
      </fill>
      <border diagonalUp="0" diagonalDown="0" outline="0">
        <left style="thin">
          <color theme="4" tint="0.39997558519241921"/>
        </left>
        <right style="thin">
          <color theme="4" tint="0.39997558519241921"/>
        </right>
        <top/>
        <bottom/>
      </border>
    </dxf>
    <dxf>
      <font>
        <b val="0"/>
        <i val="0"/>
        <strike val="0"/>
        <condense val="0"/>
        <extend val="0"/>
        <outline val="0"/>
        <shadow val="0"/>
        <u val="none"/>
        <vertAlign val="baseline"/>
        <sz val="12"/>
        <color theme="1"/>
        <name val="Calibri"/>
        <family val="2"/>
        <scheme val="minor"/>
      </font>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dxf>
    <dxf>
      <numFmt numFmtId="0" formatCode="General"/>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dxf>
    <dxf>
      <numFmt numFmtId="0" formatCode="General"/>
    </dxf>
    <dxf>
      <numFmt numFmtId="0" formatCode="General"/>
    </dxf>
    <dxf>
      <font>
        <b/>
        <i val="0"/>
        <strike val="0"/>
        <condense val="0"/>
        <extend val="0"/>
        <outline val="0"/>
        <shadow val="0"/>
        <u val="none"/>
        <vertAlign val="baseline"/>
        <sz val="12"/>
        <color theme="0"/>
        <name val="Calibri"/>
        <family val="2"/>
        <scheme val="minor"/>
      </font>
      <fill>
        <patternFill patternType="solid">
          <fgColor theme="4"/>
          <bgColor theme="4"/>
        </patternFill>
      </fill>
    </dxf>
    <dxf>
      <numFmt numFmtId="19" formatCode="m/d/yyyy"/>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dxf>
    <dxf>
      <numFmt numFmtId="19" formatCode="m/d/yyyy"/>
    </dxf>
    <dxf>
      <numFmt numFmtId="19" formatCode="m/d/yyyy"/>
    </dxf>
    <dxf>
      <numFmt numFmtId="19" formatCode="m/d/yyyy"/>
    </dxf>
    <dxf>
      <numFmt numFmtId="19" formatCode="m/d/yyyy"/>
    </dxf>
    <dxf>
      <numFmt numFmtId="0" formatCode="General"/>
    </dxf>
    <dxf>
      <border outline="0">
        <top style="thin">
          <color theme="4" tint="0.39997558519241921"/>
        </top>
      </border>
    </dxf>
    <dxf>
      <border outline="0">
        <bottom style="thin">
          <color theme="4" tint="0.39997558519241921"/>
        </bottom>
      </border>
    </dxf>
    <dxf>
      <font>
        <b/>
        <i val="0"/>
        <strike val="0"/>
        <condense val="0"/>
        <extend val="0"/>
        <outline val="0"/>
        <shadow val="0"/>
        <u val="none"/>
        <vertAlign val="baseline"/>
        <sz val="12"/>
        <color theme="0"/>
        <name val="Calibri"/>
        <family val="2"/>
        <scheme val="minor"/>
      </font>
      <fill>
        <patternFill patternType="solid">
          <fgColor theme="4"/>
          <bgColor theme="4"/>
        </patternFill>
      </fill>
    </dxf>
    <dxf>
      <numFmt numFmtId="164" formatCode="[$-F800]dddd\,\ mmmm\ dd\,\ yyyy"/>
    </dxf>
    <dxf>
      <numFmt numFmtId="164" formatCode="[$-F800]dddd\,\ mmmm\ dd\,\ yyyy"/>
      <fill>
        <patternFill>
          <fgColor indexed="64"/>
          <bgColor rgb="FF00B0F0"/>
        </patternFill>
      </fill>
    </dxf>
    <dxf>
      <fill>
        <patternFill>
          <fgColor indexed="64"/>
          <bgColor rgb="FF00B0F0"/>
        </patternFill>
      </fill>
    </dxf>
    <dxf>
      <fill>
        <patternFill>
          <fgColor indexed="64"/>
          <bgColor rgb="FFFF0000"/>
        </patternFill>
      </fill>
    </dxf>
    <dxf>
      <fill>
        <patternFill>
          <fgColor indexed="64"/>
          <bgColor rgb="FF92D050"/>
        </patternFill>
      </fill>
    </dxf>
    <dxf>
      <font>
        <b/>
        <i val="0"/>
        <strike val="0"/>
        <condense val="0"/>
        <extend val="0"/>
        <outline val="0"/>
        <shadow val="0"/>
        <u val="none"/>
        <vertAlign val="baseline"/>
        <sz val="12"/>
        <color theme="0"/>
        <name val="Calibri"/>
        <family val="2"/>
        <scheme val="minor"/>
      </font>
      <fill>
        <patternFill patternType="solid">
          <fgColor theme="4"/>
          <bgColor theme="4"/>
        </patternFill>
      </fill>
    </dxf>
    <dxf>
      <font>
        <b/>
        <i val="0"/>
        <strike val="0"/>
        <condense val="0"/>
        <extend val="0"/>
        <outline val="0"/>
        <shadow val="0"/>
        <u/>
        <vertAlign val="baseline"/>
        <sz val="12"/>
        <color theme="1"/>
        <name val="Calibri"/>
        <family val="2"/>
        <scheme val="minor"/>
      </font>
    </dxf>
    <dxf>
      <numFmt numFmtId="164" formatCode="[$-F800]dddd\,\ mmmm\ dd\,\ yyyy"/>
      <fill>
        <patternFill patternType="solid">
          <fgColor indexed="64"/>
          <bgColor rgb="FF00B0F0"/>
        </patternFill>
      </fill>
    </dxf>
    <dxf>
      <numFmt numFmtId="164" formatCode="[$-F800]dddd\,\ mmmm\ dd\,\ yyyy"/>
      <fill>
        <patternFill patternType="solid">
          <fgColor indexed="64"/>
          <bgColor rgb="FFFF0000"/>
        </patternFill>
      </fill>
    </dxf>
    <dxf>
      <numFmt numFmtId="164" formatCode="[$-F800]dddd\,\ mmmm\ dd\,\ yyyy"/>
      <fill>
        <patternFill patternType="solid">
          <fgColor indexed="64"/>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F7C489B-F528-AB46-B023-0E99E9456734}" name="Tasks" displayName="Tasks" ref="A3:F18" totalsRowShown="0">
  <sortState xmlns:xlrd2="http://schemas.microsoft.com/office/spreadsheetml/2017/richdata2" ref="A4:F18">
    <sortCondition ref="A3:A18"/>
  </sortState>
  <tableColumns count="6">
    <tableColumn id="1" xr3:uid="{956B2B9D-1674-7243-A146-E2A6D6B072A5}" name="Business Person"/>
    <tableColumn id="2" xr3:uid="{20307D19-2A1D-EA4B-BF5D-AC5F6FDED3E7}" name="Task"/>
    <tableColumn id="3" xr3:uid="{D3C04E9B-857E-054F-8972-DEAA7076BD36}" name="Date Assigned" dataDxfId="38"/>
    <tableColumn id="4" xr3:uid="{4A94A531-7DAC-F64B-A096-47A339E3669C}" name="Date to Be Completed" dataDxfId="37"/>
    <tableColumn id="5" xr3:uid="{47AC7AD9-73F8-AA4B-A931-8D540D651081}" name="Date Completed" dataDxfId="36"/>
    <tableColumn id="6" xr3:uid="{B6674704-E198-B842-8E70-D62F42C98FB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1B36596-0BBF-4BD4-80B5-5D7E735AB37B}" name="Table2" displayName="Table2" ref="H3:H9" totalsRowShown="0" headerRowDxfId="35">
  <autoFilter ref="H3:H9" xr:uid="{F1B36596-0BBF-4BD4-80B5-5D7E735AB37B}"/>
  <tableColumns count="1">
    <tableColumn id="1" xr3:uid="{C70817E0-9208-4D15-A6B5-B75504A27327}" name="Business Perso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E4AB234-CDFF-4445-B1BA-AF93FCBD9D09}" name="Table5" displayName="Table5" ref="A3:E8" totalsRowShown="0" headerRowDxfId="34">
  <tableColumns count="5">
    <tableColumn id="1" xr3:uid="{EAC4651C-C5CD-4368-AF66-36DA36BD463F}" name="Task"/>
    <tableColumn id="2" xr3:uid="{EF4A8F12-1BF6-4B7A-87C1-99C04DF80772}" name="Date Assigned" dataDxfId="33"/>
    <tableColumn id="3" xr3:uid="{448051BC-1AC1-4BCC-B4A2-ECDE130B7867}" name="Date to Be Completed" dataDxfId="32"/>
    <tableColumn id="4" xr3:uid="{D4FD47E3-CE16-4209-8D3A-6EF4431238F7}" name="Date Completed" dataDxfId="31"/>
    <tableColumn id="6" xr3:uid="{8C21F2D6-AD9A-4E32-92F9-01379DBF894C}" name="5 Days Prior" dataDxfId="30">
      <calculatedColumnFormula>AND(Table5[[#This Row],[Date Completed]]&gt;=TODAY()-5,Table5[[#This Row],[Date Completed]]&lt;=TODAY())</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BCA343A-ED8D-473A-B1B8-953827C591E1}" name="Table16" displayName="Table16" ref="G9:I12" totalsRowShown="0">
  <tableColumns count="3">
    <tableColumn id="1" xr3:uid="{B2665FC3-EEA4-4CD5-84FA-2D454845C625}" name="Task"/>
    <tableColumn id="2" xr3:uid="{42FD3239-71C8-46F3-B900-58D0E1C4D0B1}" name="Date Completed"/>
    <tableColumn id="3" xr3:uid="{0D449DC3-0866-4882-B118-8ADFAD071EFB}" name="5 Days Prior" dataDxfId="29">
      <calculatedColumnFormula>AND(Table16[[#This Row],[Date Completed]]&gt;=TODAY()-5,Table16[[#This Row],[Date Completed]]&lt;=TODAY())</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1E361EF-D01C-4E52-9EAC-1ADD406E27F1}" name="Table7" displayName="Table7" ref="A3:E7" totalsRowShown="0" headerRowDxfId="28" headerRowBorderDxfId="27" tableBorderDxfId="26">
  <tableColumns count="5">
    <tableColumn id="1" xr3:uid="{897B6D9D-0851-444D-9879-5728F56EEAC4}" name="Task" dataDxfId="25"/>
    <tableColumn id="2" xr3:uid="{157C48C3-C967-46F0-BA9F-E217D14791B0}" name="Date Assigned" dataDxfId="24">
      <calculatedColumnFormula array="1">(IF(ROWS(B$4:B7)&gt;$R$4,"",INDEX(Tasks[Date Assigned],_xlfn.AGGREGATE(15,6,(ROW(Tasks[Date Assigned])-ROW(Tasks[#Headers]))/(Tasks[[Business Person]:[Business Person]]=$B$1),ROWS(B$4:B7)))))</calculatedColumnFormula>
    </tableColumn>
    <tableColumn id="3" xr3:uid="{31927942-6761-41CA-BE70-291655B1FDE8}" name="Date to Be Completed" dataDxfId="23">
      <calculatedColumnFormula array="1">(IF(ROWS(C$4:C7)&gt;$R$4,"",INDEX(Tasks[Date to Be Completed],_xlfn.AGGREGATE(15,6,(ROW(Tasks[Date to Be Completed])-ROW(Tasks[#Headers]))/(Tasks[[Business Person]:[Business Person]]=$B$1),ROWS(C$4:C7)))))</calculatedColumnFormula>
    </tableColumn>
    <tableColumn id="4" xr3:uid="{EAC34510-18CD-428F-A5D8-68828BBDBE63}" name="Date Completed" dataDxfId="22">
      <calculatedColumnFormula array="1">(IF(ROWS(D$4:D7)&gt;$R$4,"",INDEX(Tasks[Date Completed],_xlfn.AGGREGATE(15,6,(ROW(Tasks[Date Completed])-ROW(Tasks[#Headers]))/(Tasks[[Business Person]:[Business Person]]=$B$1),ROWS(D$4:D7)))))</calculatedColumnFormula>
    </tableColumn>
    <tableColumn id="5" xr3:uid="{5D055508-3E0F-402D-87ED-99546AE5188E}" name="5 Days Prior" dataDxfId="21">
      <calculatedColumnFormula>AND(Table7[[#This Row],[Date Completed]]&gt;=TODAY()-5,Table7[[#This Row],[Date Completed]]&lt;=TODAY())</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4FC6B82-1AFB-4C5F-93BE-E661AAB149DD}" name="Table15" displayName="Table15" ref="G7:I10" totalsRowShown="0" headerRowDxfId="20" headerRowBorderDxfId="19" tableBorderDxfId="18">
  <tableColumns count="3">
    <tableColumn id="1" xr3:uid="{82CAEF55-1EBE-412E-8BFD-A07E458846D7}" name="Task"/>
    <tableColumn id="2" xr3:uid="{C49B57AF-6E42-42A2-8B5D-7F5ADF0CE4EF}" name="Date Completed"/>
    <tableColumn id="3" xr3:uid="{F4B9DBB5-DC69-4C8E-B181-3F61BF1C7C90}" name="5 Days Prior" dataDxfId="17">
      <calculatedColumnFormula>AND(Table15[[#This Row],[Date Completed]]&gt;=TODAY()-5,Table15[[#This Row],[Date Completed]]&lt;=TODAY())</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2317E64-5480-4016-BB34-EB0A17A8787D}" name="Table8" displayName="Table8" ref="A3:E8" totalsRowShown="0" headerRowDxfId="16">
  <tableColumns count="5">
    <tableColumn id="1" xr3:uid="{6D1AFE75-5B16-4520-AF72-96717556D9E5}" name="Task"/>
    <tableColumn id="2" xr3:uid="{70FB20E0-1D70-4700-BD79-DC58EA1B9AAD}" name="Date Assigned"/>
    <tableColumn id="3" xr3:uid="{B4F3FCD0-438C-4328-A7DA-BBC3D4F1F106}" name="Date to Be Completed"/>
    <tableColumn id="4" xr3:uid="{642B5D6C-ED37-4A19-879D-B1A0AECF3BA1}" name="Date Completed"/>
    <tableColumn id="5" xr3:uid="{0961D50C-7FD5-4914-BA5E-D41C9090B9BD}" name="5 Days Prior" dataDxfId="15">
      <calculatedColumnFormula>AND(Table8[[#This Row],[Date Completed]]&gt;=TODAY()-5,Table8[[#This Row],[Date Completed]]&lt;=TODAY())</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2DCFFA5-B8A7-4301-8C9D-FC3338559B99}" name="Table14" displayName="Table14" ref="G9:I10" totalsRowShown="0">
  <tableColumns count="3">
    <tableColumn id="1" xr3:uid="{575B8980-B45D-4C8F-95E8-379842001B72}" name="Task"/>
    <tableColumn id="2" xr3:uid="{4C74F285-5A72-47D4-B9C5-87CBEA3DE445}" name="Date Completed"/>
    <tableColumn id="3" xr3:uid="{632F2B38-10F6-411E-8B61-A76F49D589BF}" name="5 Days Prior" dataDxfId="1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A6AF2EA-0E0C-4F86-9127-75AFB49BCAAD}" name="Table10" displayName="Table10" ref="A3:E9" totalsRowShown="0" headerRowDxfId="13" headerRowBorderDxfId="12" tableBorderDxfId="11">
  <tableColumns count="5">
    <tableColumn id="1" xr3:uid="{A1B2A581-2F39-4FD9-899C-FFC907E9D27E}" name="Task"/>
    <tableColumn id="2" xr3:uid="{C9F49462-F594-440F-945D-C139CBAC442A}" name="Date Assigned"/>
    <tableColumn id="3" xr3:uid="{CABDB5EC-C5D2-4900-A61A-D48F9AE55F1F}" name="Date to Be Completed"/>
    <tableColumn id="4" xr3:uid="{90063B2B-7154-413E-8DCE-4F22FBA3EAC9}" name="Date Completed"/>
    <tableColumn id="6" xr3:uid="{87FE4983-58EA-4218-B309-5F04C57A3FF2}" name="5 Days Prior" dataDxfId="10">
      <calculatedColumnFormula>AND(Table10[[#This Row],[Date Completed]]&gt;=TODAY()-5, Table10[[#This Row],[Date Completed]] &lt;=TODAY())</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637DF85-A3BB-40C7-8E4A-B946169E6F52}" name="Table4" displayName="Table4" ref="G10:I11" totalsRowShown="0">
  <tableColumns count="3">
    <tableColumn id="1" xr3:uid="{137DE6F8-0EC9-44C8-B81E-25318C0EC4E2}" name="Task"/>
    <tableColumn id="2" xr3:uid="{7CFAC5BF-A037-49EE-AA62-7B0B76180B80}" name="Date Completed"/>
    <tableColumn id="3" xr3:uid="{56A9EFD0-93FB-4CA3-B56B-59F0BB830529}" name="5 Days Prior" dataDxfId="9"/>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A8600EA6-1CF3-4328-BE03-0430A1F740F6}" name="Table20" displayName="Table20" ref="A3:E7" totalsRowShown="0" headerRowDxfId="8" headerRowBorderDxfId="7" tableBorderDxfId="6">
  <tableColumns count="5">
    <tableColumn id="1" xr3:uid="{7FEEF47C-8C06-406D-9CCD-0971D2871212}" name="Task"/>
    <tableColumn id="2" xr3:uid="{A5E02F68-4685-43EF-92EC-717056E2A9B4}" name="Date Assigned"/>
    <tableColumn id="3" xr3:uid="{3194F70D-70C2-4B97-A48D-D92198D99714}" name="Date to Be Completed"/>
    <tableColumn id="4" xr3:uid="{399E6B99-4115-4361-AE92-CD5DD537B055}" name="Date Completed"/>
    <tableColumn id="5" xr3:uid="{8D7DA20F-9BCB-4914-B304-4D39A96CB5CF}" name="5 Days Prior" dataDxfId="5">
      <calculatedColumnFormula>AND(Table20[[#This Row],[Date Completed]]&gt;=TODAY()-5,Table20[[#This Row],[Date Completed]]&lt;=TODAY())</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1EE35654-ED04-4582-8CBE-5EA82A75C6F2}" name="Table22" displayName="Table22" ref="G9:I12" totalsRowShown="0">
  <tableColumns count="3">
    <tableColumn id="1" xr3:uid="{0F8E9DD2-3164-42CC-8EA1-D0742EC4B2DE}" name="Task" dataDxfId="4"/>
    <tableColumn id="2" xr3:uid="{006C5D5D-868B-472F-B8C0-02F0FC9BC3F5}" name="Date Completed"/>
    <tableColumn id="3" xr3:uid="{87FD3960-7647-45AD-A093-ED67E244D11B}" name="5 Days Prior"/>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C17289B-6A53-40B9-B1F5-9B461F7862FB}" name="Table3" displayName="Table3" ref="A3:E4" totalsRowShown="0" headerRowDxfId="3">
  <tableColumns count="5">
    <tableColumn id="1" xr3:uid="{DB82FB0E-019A-471F-BFF9-816A89A34E09}" name="Task"/>
    <tableColumn id="2" xr3:uid="{E4CF11E9-EA29-4FCE-8117-26C9E997DAE1}" name="Date Assigned"/>
    <tableColumn id="3" xr3:uid="{37590305-A9F4-40F3-A7DB-E61CD0364CF0}" name="Date to Be Completed"/>
    <tableColumn id="4" xr3:uid="{D7C43301-129E-412C-B1ED-A7DE971EDBF7}" name="Date Completed"/>
    <tableColumn id="5" xr3:uid="{0F2FB847-7717-46B1-B6CE-0887A73D4F3B}" name="5 Days Prior">
      <calculatedColumnFormula>AND(Table3[[#This Row],[Date Completed]]&gt;=TODAY()-5,Table3[[#This Row],[Date Completed]]&lt;=TODAY())</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C8EFF4AF-207A-4233-8288-0BA7EC9B8529}" name="Table6" displayName="Table6" ref="G4:I5" totalsRowShown="0" headerRowDxfId="0" headerRowBorderDxfId="1" tableBorderDxfId="2">
  <autoFilter ref="G4:I5" xr:uid="{C8EFF4AF-207A-4233-8288-0BA7EC9B8529}"/>
  <tableColumns count="3">
    <tableColumn id="1" xr3:uid="{0787C44E-FC52-474A-9051-F65D1B20A508}" name="Task"/>
    <tableColumn id="2" xr3:uid="{083B4CB6-A7C0-4530-8C28-93220DD3CE14}" name="Date Completed"/>
    <tableColumn id="3" xr3:uid="{1D7B5D15-5E6F-42A8-83C8-63CBC6C11430}" name="5 Days Prio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table" Target="../tables/table7.xml"/></Relationships>
</file>

<file path=xl/worksheets/_rels/sheet5.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table" Target="../tables/table11.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00DC9-E9CA-8249-8305-0885C1018BF6}">
  <sheetPr codeName="Sheet1"/>
  <dimension ref="A1:O33"/>
  <sheetViews>
    <sheetView topLeftCell="A3" zoomScale="85" zoomScaleNormal="85" workbookViewId="0">
      <selection activeCell="E19" sqref="E19"/>
    </sheetView>
  </sheetViews>
  <sheetFormatPr defaultColWidth="11.19921875" defaultRowHeight="15.6" x14ac:dyDescent="0.3"/>
  <cols>
    <col min="1" max="1" width="19.69921875" bestFit="1" customWidth="1"/>
    <col min="2" max="2" width="33.19921875" bestFit="1" customWidth="1"/>
    <col min="3" max="3" width="27" bestFit="1" customWidth="1"/>
    <col min="4" max="5" width="28" bestFit="1" customWidth="1"/>
    <col min="6" max="6" width="46.19921875" customWidth="1"/>
    <col min="8" max="8" width="15.796875" customWidth="1"/>
  </cols>
  <sheetData>
    <row r="1" spans="1:8" ht="31.8" thickBot="1" x14ac:dyDescent="0.35">
      <c r="B1" s="12" t="s">
        <v>30</v>
      </c>
      <c r="E1" s="1"/>
    </row>
    <row r="3" spans="1:8" x14ac:dyDescent="0.3">
      <c r="A3" t="s">
        <v>7</v>
      </c>
      <c r="B3" t="s">
        <v>1</v>
      </c>
      <c r="C3" t="s">
        <v>2</v>
      </c>
      <c r="D3" t="s">
        <v>3</v>
      </c>
      <c r="E3" t="s">
        <v>4</v>
      </c>
      <c r="F3" t="s">
        <v>5</v>
      </c>
      <c r="H3" s="7" t="s">
        <v>15</v>
      </c>
    </row>
    <row r="4" spans="1:8" x14ac:dyDescent="0.3">
      <c r="A4" t="s">
        <v>10</v>
      </c>
      <c r="B4" t="s">
        <v>38</v>
      </c>
      <c r="C4" s="8">
        <v>44558</v>
      </c>
      <c r="D4" s="9">
        <v>44559</v>
      </c>
      <c r="E4" s="10">
        <v>44560</v>
      </c>
      <c r="F4" t="s">
        <v>39</v>
      </c>
      <c r="H4" t="s">
        <v>6</v>
      </c>
    </row>
    <row r="5" spans="1:8" x14ac:dyDescent="0.3">
      <c r="A5" t="s">
        <v>10</v>
      </c>
      <c r="B5" t="s">
        <v>28</v>
      </c>
      <c r="C5" s="8">
        <v>44927</v>
      </c>
      <c r="D5" s="9">
        <v>44928</v>
      </c>
      <c r="E5" s="10">
        <v>44560</v>
      </c>
      <c r="H5" t="s">
        <v>8</v>
      </c>
    </row>
    <row r="6" spans="1:8" x14ac:dyDescent="0.3">
      <c r="A6" t="s">
        <v>10</v>
      </c>
      <c r="B6" t="s">
        <v>29</v>
      </c>
      <c r="C6" s="8">
        <v>44959</v>
      </c>
      <c r="D6" s="9">
        <v>44960</v>
      </c>
      <c r="E6" s="10">
        <v>44560</v>
      </c>
      <c r="H6" t="s">
        <v>9</v>
      </c>
    </row>
    <row r="7" spans="1:8" x14ac:dyDescent="0.3">
      <c r="A7" t="s">
        <v>6</v>
      </c>
      <c r="B7" t="s">
        <v>16</v>
      </c>
      <c r="C7" s="8">
        <v>44927</v>
      </c>
      <c r="D7" s="9">
        <v>44928</v>
      </c>
      <c r="E7" s="10">
        <v>44559</v>
      </c>
      <c r="F7" t="s">
        <v>18</v>
      </c>
      <c r="H7" t="s">
        <v>10</v>
      </c>
    </row>
    <row r="8" spans="1:8" x14ac:dyDescent="0.3">
      <c r="A8" t="s">
        <v>11</v>
      </c>
      <c r="B8" t="s">
        <v>32</v>
      </c>
      <c r="C8" s="8">
        <v>44927</v>
      </c>
      <c r="D8" s="9">
        <v>44928</v>
      </c>
      <c r="E8" s="10">
        <v>44557</v>
      </c>
      <c r="F8" t="s">
        <v>20</v>
      </c>
      <c r="H8" t="s">
        <v>11</v>
      </c>
    </row>
    <row r="9" spans="1:8" x14ac:dyDescent="0.3">
      <c r="A9" t="s">
        <v>11</v>
      </c>
      <c r="B9" t="s">
        <v>35</v>
      </c>
      <c r="C9" s="8">
        <v>44927</v>
      </c>
      <c r="D9" s="9">
        <v>44928</v>
      </c>
      <c r="E9" s="10">
        <v>44531</v>
      </c>
      <c r="F9" t="s">
        <v>23</v>
      </c>
      <c r="H9" t="s">
        <v>46</v>
      </c>
    </row>
    <row r="10" spans="1:8" x14ac:dyDescent="0.3">
      <c r="A10" t="s">
        <v>11</v>
      </c>
      <c r="B10" t="s">
        <v>31</v>
      </c>
      <c r="C10" s="8">
        <v>44927</v>
      </c>
      <c r="D10" s="9">
        <v>44928</v>
      </c>
      <c r="E10" s="10">
        <v>44531</v>
      </c>
      <c r="F10" t="s">
        <v>19</v>
      </c>
    </row>
    <row r="11" spans="1:8" x14ac:dyDescent="0.3">
      <c r="A11" t="s">
        <v>9</v>
      </c>
      <c r="B11" t="s">
        <v>34</v>
      </c>
      <c r="C11" s="8">
        <v>44927</v>
      </c>
      <c r="D11" s="9">
        <v>44928</v>
      </c>
      <c r="E11" s="10">
        <v>44560</v>
      </c>
      <c r="F11" t="s">
        <v>22</v>
      </c>
    </row>
    <row r="12" spans="1:8" x14ac:dyDescent="0.3">
      <c r="A12" t="s">
        <v>6</v>
      </c>
      <c r="B12" t="s">
        <v>33</v>
      </c>
      <c r="C12" s="8">
        <v>44927</v>
      </c>
      <c r="D12" s="9">
        <v>44928</v>
      </c>
      <c r="E12" s="10">
        <v>44559</v>
      </c>
      <c r="F12" t="s">
        <v>21</v>
      </c>
    </row>
    <row r="13" spans="1:8" x14ac:dyDescent="0.3">
      <c r="A13" t="s">
        <v>6</v>
      </c>
      <c r="B13" t="s">
        <v>36</v>
      </c>
      <c r="C13" s="8">
        <v>44927</v>
      </c>
      <c r="D13" s="9">
        <v>44928</v>
      </c>
      <c r="E13" s="10">
        <v>44555</v>
      </c>
      <c r="F13">
        <v>42</v>
      </c>
    </row>
    <row r="14" spans="1:8" x14ac:dyDescent="0.3">
      <c r="A14" t="s">
        <v>11</v>
      </c>
      <c r="B14" t="s">
        <v>17</v>
      </c>
      <c r="C14" s="8">
        <v>44927</v>
      </c>
      <c r="D14" s="9">
        <v>44928</v>
      </c>
      <c r="E14" s="10">
        <v>44558</v>
      </c>
      <c r="F14" t="s">
        <v>24</v>
      </c>
    </row>
    <row r="15" spans="1:8" x14ac:dyDescent="0.3">
      <c r="A15" t="s">
        <v>8</v>
      </c>
      <c r="B15" t="s">
        <v>37</v>
      </c>
      <c r="C15" s="8">
        <v>44927</v>
      </c>
      <c r="D15" s="9">
        <v>44928</v>
      </c>
      <c r="E15" s="10">
        <v>44555</v>
      </c>
      <c r="F15" t="s">
        <v>25</v>
      </c>
    </row>
    <row r="16" spans="1:8" x14ac:dyDescent="0.3">
      <c r="A16" t="s">
        <v>8</v>
      </c>
      <c r="B16" s="3" t="s">
        <v>14</v>
      </c>
      <c r="C16" s="8">
        <v>44927</v>
      </c>
      <c r="D16" s="9">
        <v>44928</v>
      </c>
      <c r="E16" s="10">
        <v>44559</v>
      </c>
      <c r="F16" t="s">
        <v>27</v>
      </c>
    </row>
    <row r="17" spans="1:15" x14ac:dyDescent="0.3">
      <c r="A17" t="s">
        <v>8</v>
      </c>
      <c r="B17" s="3" t="s">
        <v>12</v>
      </c>
      <c r="C17" s="8">
        <v>44927</v>
      </c>
      <c r="D17" s="9">
        <v>44928</v>
      </c>
      <c r="E17" s="10">
        <v>44558</v>
      </c>
      <c r="F17" t="s">
        <v>26</v>
      </c>
    </row>
    <row r="18" spans="1:15" x14ac:dyDescent="0.3">
      <c r="A18" t="s">
        <v>46</v>
      </c>
      <c r="B18" s="3" t="s">
        <v>13</v>
      </c>
      <c r="C18" s="8">
        <v>44927</v>
      </c>
      <c r="D18" s="9">
        <v>44928</v>
      </c>
      <c r="E18" s="10">
        <v>44560</v>
      </c>
    </row>
    <row r="19" spans="1:15" x14ac:dyDescent="0.3">
      <c r="C19" s="17"/>
      <c r="D19" s="17"/>
      <c r="E19" s="17"/>
    </row>
    <row r="20" spans="1:15" x14ac:dyDescent="0.3">
      <c r="C20" s="17"/>
      <c r="D20" s="17"/>
      <c r="E20" s="17"/>
    </row>
    <row r="21" spans="1:15" x14ac:dyDescent="0.3">
      <c r="C21" s="17"/>
      <c r="D21" s="17"/>
      <c r="E21" s="17"/>
      <c r="H21" s="11"/>
      <c r="I21" s="11"/>
      <c r="J21" s="11"/>
      <c r="K21" s="11"/>
      <c r="L21" s="11"/>
      <c r="M21" s="11"/>
      <c r="N21" s="11"/>
      <c r="O21" s="11"/>
    </row>
    <row r="22" spans="1:15" x14ac:dyDescent="0.3">
      <c r="C22" s="17"/>
      <c r="D22" s="17"/>
      <c r="E22" s="17"/>
      <c r="H22" s="5" t="s">
        <v>7</v>
      </c>
    </row>
    <row r="23" spans="1:15" x14ac:dyDescent="0.3">
      <c r="C23" s="17"/>
      <c r="D23" s="17"/>
      <c r="E23" s="17"/>
      <c r="H23" t="s">
        <v>6</v>
      </c>
    </row>
    <row r="24" spans="1:15" x14ac:dyDescent="0.3">
      <c r="C24" s="17"/>
      <c r="D24" s="17"/>
      <c r="E24" s="17"/>
      <c r="H24" s="5" t="s">
        <v>7</v>
      </c>
    </row>
    <row r="25" spans="1:15" x14ac:dyDescent="0.3">
      <c r="C25" s="17"/>
      <c r="D25" s="17"/>
      <c r="E25" s="17"/>
      <c r="H25" t="s">
        <v>8</v>
      </c>
    </row>
    <row r="26" spans="1:15" x14ac:dyDescent="0.3">
      <c r="C26" s="17"/>
      <c r="D26" s="17"/>
      <c r="E26" s="17"/>
      <c r="H26" s="5" t="s">
        <v>7</v>
      </c>
    </row>
    <row r="27" spans="1:15" x14ac:dyDescent="0.3">
      <c r="C27" s="17"/>
      <c r="D27" s="17"/>
      <c r="E27" s="17"/>
      <c r="H27" t="s">
        <v>9</v>
      </c>
    </row>
    <row r="28" spans="1:15" x14ac:dyDescent="0.3">
      <c r="C28" s="17"/>
      <c r="D28" s="17"/>
      <c r="E28" s="17"/>
      <c r="H28" s="5" t="s">
        <v>7</v>
      </c>
    </row>
    <row r="29" spans="1:15" x14ac:dyDescent="0.3">
      <c r="C29" s="17"/>
      <c r="D29" s="17"/>
      <c r="E29" s="17"/>
      <c r="H29" t="s">
        <v>10</v>
      </c>
    </row>
    <row r="30" spans="1:15" x14ac:dyDescent="0.3">
      <c r="C30" s="17"/>
      <c r="D30" s="17"/>
      <c r="E30" s="17"/>
      <c r="H30" s="5" t="s">
        <v>7</v>
      </c>
    </row>
    <row r="31" spans="1:15" x14ac:dyDescent="0.3">
      <c r="C31" s="17"/>
      <c r="D31" s="17"/>
      <c r="E31" s="17"/>
      <c r="H31" t="s">
        <v>11</v>
      </c>
    </row>
    <row r="32" spans="1:15" x14ac:dyDescent="0.3">
      <c r="C32" s="17"/>
      <c r="D32" s="17"/>
      <c r="E32" s="17"/>
      <c r="H32" s="14" t="s">
        <v>7</v>
      </c>
    </row>
    <row r="33" spans="3:8" x14ac:dyDescent="0.3">
      <c r="C33" s="17"/>
      <c r="D33" s="17"/>
      <c r="E33" s="17"/>
      <c r="H33" t="s">
        <v>46</v>
      </c>
    </row>
  </sheetData>
  <dataConsolidate/>
  <phoneticPr fontId="5" type="noConversion"/>
  <dataValidations count="1">
    <dataValidation type="list" allowBlank="1" showInputMessage="1" showErrorMessage="1" errorTitle="Invalid" error="Name entered does not exist. Please update Employees list located to the right of the chart. To do so, click last cell in list and right click. Then click insert and then add name to list. " promptTitle="Select Business Person Name" prompt="Name selected will allow table information for that person to populate their personal tab listed below. " sqref="A4:A18" xr:uid="{91F65799-48B4-43FE-ACC0-4A87AB030BE9}">
      <formula1>$H$4:$H$9</formula1>
    </dataValidation>
  </dataValidations>
  <pageMargins left="0.7" right="0.7" top="0.75" bottom="0.75" header="0.3" footer="0.3"/>
  <pageSetup orientation="portrait" horizontalDpi="4294967293" verticalDpi="0"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4667FF-2AA7-4E55-A56E-EB67FBB17B17}">
  <sheetPr codeName="Sheet8"/>
  <dimension ref="A1:I39"/>
  <sheetViews>
    <sheetView topLeftCell="B1" workbookViewId="0">
      <selection activeCell="C15" sqref="C15"/>
    </sheetView>
  </sheetViews>
  <sheetFormatPr defaultRowHeight="15.6" x14ac:dyDescent="0.3"/>
  <cols>
    <col min="1" max="1" width="20" bestFit="1" customWidth="1"/>
    <col min="2" max="2" width="23.796875" bestFit="1" customWidth="1"/>
    <col min="3" max="3" width="22" bestFit="1" customWidth="1"/>
    <col min="4" max="4" width="28" bestFit="1" customWidth="1"/>
    <col min="5" max="5" width="23.5" hidden="1" customWidth="1"/>
    <col min="6" max="6" width="0" hidden="1" customWidth="1"/>
    <col min="7" max="7" width="28.69921875" bestFit="1" customWidth="1"/>
    <col min="8" max="8" width="28" bestFit="1" customWidth="1"/>
    <col min="9" max="9" width="12.69921875" hidden="1" customWidth="1"/>
  </cols>
  <sheetData>
    <row r="1" spans="1:9" x14ac:dyDescent="0.3">
      <c r="A1" s="2" t="s">
        <v>0</v>
      </c>
      <c r="B1" s="4" t="str">
        <f>('Master Table'!H4)</f>
        <v>Jason</v>
      </c>
    </row>
    <row r="2" spans="1:9" x14ac:dyDescent="0.3">
      <c r="C2" s="24" t="s">
        <v>47</v>
      </c>
      <c r="D2" s="25"/>
    </row>
    <row r="3" spans="1:9" x14ac:dyDescent="0.3">
      <c r="A3" s="6" t="s">
        <v>1</v>
      </c>
      <c r="B3" s="6" t="s">
        <v>2</v>
      </c>
      <c r="C3" s="13" t="s">
        <v>3</v>
      </c>
      <c r="D3" s="6" t="s">
        <v>4</v>
      </c>
      <c r="E3" s="14" t="s">
        <v>40</v>
      </c>
      <c r="I3" t="s">
        <v>40</v>
      </c>
    </row>
    <row r="4" spans="1:9" x14ac:dyDescent="0.3">
      <c r="A4" t="s">
        <v>16</v>
      </c>
      <c r="B4" s="8">
        <v>44927</v>
      </c>
      <c r="C4" s="9">
        <v>44928</v>
      </c>
      <c r="D4" s="10">
        <v>44559</v>
      </c>
      <c r="E4" s="10" t="b">
        <f ca="1">AND(Table5[[#This Row],[Date Completed]]&gt;=TODAY()-5,Table5[[#This Row],[Date Completed]]&lt;=TODAY())</f>
        <v>1</v>
      </c>
      <c r="I4" t="b">
        <v>1</v>
      </c>
    </row>
    <row r="5" spans="1:9" x14ac:dyDescent="0.3">
      <c r="A5" t="s">
        <v>33</v>
      </c>
      <c r="B5" s="8">
        <v>44927</v>
      </c>
      <c r="C5" s="9">
        <v>44928</v>
      </c>
      <c r="D5" s="10">
        <v>44559</v>
      </c>
      <c r="E5" s="10" t="b">
        <f ca="1">AND(Table5[[#This Row],[Date Completed]]&gt;=TODAY()-5,Table5[[#This Row],[Date Completed]]&lt;=TODAY())</f>
        <v>1</v>
      </c>
    </row>
    <row r="6" spans="1:9" x14ac:dyDescent="0.3">
      <c r="A6" t="s">
        <v>36</v>
      </c>
      <c r="B6" s="8">
        <v>44927</v>
      </c>
      <c r="C6" s="9">
        <v>44928</v>
      </c>
      <c r="D6" s="10">
        <v>44555</v>
      </c>
      <c r="E6" s="10" t="b">
        <f ca="1">AND(Table5[[#This Row],[Date Completed]]&gt;=TODAY()-5,Table5[[#This Row],[Date Completed]]&lt;=TODAY())</f>
        <v>0</v>
      </c>
    </row>
    <row r="7" spans="1:9" x14ac:dyDescent="0.3">
      <c r="B7" s="8"/>
      <c r="C7" s="9"/>
      <c r="D7" s="10"/>
      <c r="E7" s="10" t="b">
        <f ca="1">AND(Table5[[#This Row],[Date Completed]]&gt;=TODAY()-5,Table5[[#This Row],[Date Completed]]&lt;=TODAY())</f>
        <v>0</v>
      </c>
    </row>
    <row r="8" spans="1:9" x14ac:dyDescent="0.3">
      <c r="B8" s="8"/>
      <c r="C8" s="9"/>
      <c r="D8" s="10"/>
      <c r="E8" s="10" t="b">
        <f ca="1">AND(Table5[[#This Row],[Date Completed]]&gt;=TODAY()-5,Table5[[#This Row],[Date Completed]]&lt;=TODAY())</f>
        <v>0</v>
      </c>
      <c r="H8" s="19" t="s">
        <v>45</v>
      </c>
    </row>
    <row r="9" spans="1:9" x14ac:dyDescent="0.3">
      <c r="B9" s="8"/>
      <c r="C9" s="9"/>
      <c r="D9" s="10"/>
      <c r="E9" s="17"/>
      <c r="G9" t="s">
        <v>1</v>
      </c>
      <c r="H9" t="s">
        <v>4</v>
      </c>
      <c r="I9" t="s">
        <v>40</v>
      </c>
    </row>
    <row r="10" spans="1:9" x14ac:dyDescent="0.3">
      <c r="B10" s="17"/>
      <c r="C10" s="17"/>
      <c r="D10" s="17"/>
      <c r="E10" s="17"/>
      <c r="G10" t="s">
        <v>16</v>
      </c>
      <c r="H10" s="10">
        <v>44559</v>
      </c>
      <c r="I10" s="10" t="b">
        <v>1</v>
      </c>
    </row>
    <row r="11" spans="1:9" x14ac:dyDescent="0.3">
      <c r="B11" s="17"/>
      <c r="C11" s="17"/>
      <c r="D11" s="17"/>
      <c r="E11" s="17"/>
      <c r="G11" t="s">
        <v>33</v>
      </c>
      <c r="H11" s="10">
        <v>44559</v>
      </c>
      <c r="I11" s="10" t="b">
        <v>1</v>
      </c>
    </row>
    <row r="12" spans="1:9" x14ac:dyDescent="0.3">
      <c r="B12" s="17"/>
      <c r="C12" s="17"/>
      <c r="D12" s="17"/>
      <c r="E12" s="17"/>
      <c r="G12" t="s">
        <v>17</v>
      </c>
      <c r="H12" s="10">
        <v>44558</v>
      </c>
      <c r="I12" s="10" t="b">
        <v>1</v>
      </c>
    </row>
    <row r="13" spans="1:9" x14ac:dyDescent="0.3">
      <c r="B13" s="17"/>
      <c r="C13" s="17"/>
      <c r="D13" s="17"/>
      <c r="E13" s="17"/>
      <c r="H13" s="10"/>
      <c r="I13" s="10"/>
    </row>
    <row r="14" spans="1:9" x14ac:dyDescent="0.3">
      <c r="A14" s="3"/>
      <c r="B14" s="17"/>
      <c r="C14" s="17"/>
      <c r="D14" s="17"/>
      <c r="E14" s="17"/>
      <c r="H14" s="17"/>
    </row>
    <row r="15" spans="1:9" x14ac:dyDescent="0.3">
      <c r="A15" s="3"/>
      <c r="B15" s="17"/>
      <c r="C15" s="17"/>
      <c r="D15" s="17"/>
      <c r="E15" s="17"/>
      <c r="H15" s="17"/>
    </row>
    <row r="16" spans="1:9" x14ac:dyDescent="0.3">
      <c r="A16" s="3"/>
      <c r="B16" s="17"/>
      <c r="C16" s="17"/>
      <c r="D16" s="17"/>
      <c r="E16" s="17"/>
      <c r="H16" s="17"/>
    </row>
    <row r="17" spans="2:8" x14ac:dyDescent="0.3">
      <c r="B17" s="17"/>
      <c r="C17" s="17"/>
      <c r="D17" s="17"/>
      <c r="E17" s="17"/>
      <c r="H17" s="17"/>
    </row>
    <row r="18" spans="2:8" x14ac:dyDescent="0.3">
      <c r="B18" s="17"/>
      <c r="C18" s="17"/>
      <c r="D18" s="17"/>
      <c r="E18" s="17"/>
      <c r="H18" s="17"/>
    </row>
    <row r="19" spans="2:8" x14ac:dyDescent="0.3">
      <c r="B19" s="21"/>
      <c r="C19" s="21"/>
      <c r="D19" s="21"/>
      <c r="E19" s="17"/>
      <c r="H19" s="17"/>
    </row>
    <row r="20" spans="2:8" x14ac:dyDescent="0.3">
      <c r="B20" s="21"/>
      <c r="C20" s="21"/>
      <c r="D20" s="21"/>
      <c r="E20" s="17"/>
      <c r="G20" s="3"/>
      <c r="H20" s="17"/>
    </row>
    <row r="21" spans="2:8" x14ac:dyDescent="0.3">
      <c r="B21" s="21"/>
      <c r="C21" s="21"/>
      <c r="D21" s="21"/>
      <c r="E21" s="17"/>
      <c r="G21" s="3"/>
      <c r="H21" s="17"/>
    </row>
    <row r="22" spans="2:8" x14ac:dyDescent="0.3">
      <c r="B22" s="21"/>
      <c r="C22" s="21"/>
      <c r="D22" s="21"/>
      <c r="E22" s="17"/>
      <c r="G22" s="3"/>
      <c r="H22" s="17"/>
    </row>
    <row r="23" spans="2:8" x14ac:dyDescent="0.3">
      <c r="B23" s="21"/>
      <c r="C23" s="21"/>
      <c r="D23" s="21"/>
      <c r="E23" s="17"/>
      <c r="H23" s="17"/>
    </row>
    <row r="24" spans="2:8" x14ac:dyDescent="0.3">
      <c r="B24" s="21"/>
      <c r="C24" s="21"/>
      <c r="D24" s="21"/>
      <c r="E24" s="17"/>
      <c r="H24" s="17"/>
    </row>
    <row r="25" spans="2:8" x14ac:dyDescent="0.3">
      <c r="B25" s="21"/>
      <c r="C25" s="21"/>
      <c r="D25" s="21"/>
      <c r="E25" s="17"/>
      <c r="H25" s="17"/>
    </row>
    <row r="26" spans="2:8" x14ac:dyDescent="0.3">
      <c r="B26" s="21"/>
      <c r="C26" s="21"/>
      <c r="D26" s="21"/>
      <c r="E26" s="17"/>
      <c r="H26" s="17"/>
    </row>
    <row r="27" spans="2:8" x14ac:dyDescent="0.3">
      <c r="B27" s="21"/>
      <c r="C27" s="21"/>
      <c r="D27" s="21"/>
      <c r="E27" s="17"/>
      <c r="H27" s="17"/>
    </row>
    <row r="28" spans="2:8" x14ac:dyDescent="0.3">
      <c r="B28" s="21"/>
      <c r="C28" s="21"/>
      <c r="D28" s="21"/>
      <c r="E28" s="17"/>
      <c r="H28" s="17"/>
    </row>
    <row r="29" spans="2:8" x14ac:dyDescent="0.3">
      <c r="B29" s="21"/>
      <c r="C29" s="21"/>
      <c r="D29" s="21"/>
      <c r="E29" s="17"/>
      <c r="H29" s="17"/>
    </row>
    <row r="30" spans="2:8" x14ac:dyDescent="0.3">
      <c r="B30" s="21"/>
      <c r="C30" s="21"/>
      <c r="D30" s="21"/>
      <c r="E30" s="17"/>
      <c r="H30" s="17"/>
    </row>
    <row r="31" spans="2:8" x14ac:dyDescent="0.3">
      <c r="B31" s="21"/>
      <c r="C31" s="21"/>
      <c r="D31" s="21"/>
      <c r="E31" s="17"/>
      <c r="H31" s="17"/>
    </row>
    <row r="32" spans="2:8" x14ac:dyDescent="0.3">
      <c r="B32" s="21"/>
      <c r="C32" s="21"/>
      <c r="D32" s="21"/>
      <c r="E32" s="17"/>
      <c r="H32" s="17"/>
    </row>
    <row r="33" spans="2:8" x14ac:dyDescent="0.3">
      <c r="B33" s="21"/>
      <c r="C33" s="21"/>
      <c r="D33" s="21"/>
      <c r="E33" s="17"/>
      <c r="H33" s="17"/>
    </row>
    <row r="34" spans="2:8" x14ac:dyDescent="0.3">
      <c r="H34" s="17"/>
    </row>
    <row r="35" spans="2:8" x14ac:dyDescent="0.3">
      <c r="H35" s="17"/>
    </row>
    <row r="36" spans="2:8" x14ac:dyDescent="0.3">
      <c r="H36" s="17"/>
    </row>
    <row r="37" spans="2:8" x14ac:dyDescent="0.3">
      <c r="H37" s="17"/>
    </row>
    <row r="38" spans="2:8" x14ac:dyDescent="0.3">
      <c r="H38" s="17"/>
    </row>
    <row r="39" spans="2:8" x14ac:dyDescent="0.3">
      <c r="H39" s="17"/>
    </row>
  </sheetData>
  <mergeCells count="1">
    <mergeCell ref="C2:D2"/>
  </mergeCells>
  <pageMargins left="0.7" right="0.7" top="0.75" bottom="0.75" header="0.3" footer="0.3"/>
  <pageSetup orientation="portrait" horizontalDpi="4294967293" verticalDpi="0"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9F8573-79BA-684F-B2D9-F418094FF3D7}">
  <sheetPr codeName="Sheet3"/>
  <dimension ref="A1:I475"/>
  <sheetViews>
    <sheetView zoomScaleNormal="100" workbookViewId="0">
      <selection activeCell="C10" sqref="C10"/>
    </sheetView>
  </sheetViews>
  <sheetFormatPr defaultColWidth="11.19921875" defaultRowHeight="15.6" x14ac:dyDescent="0.3"/>
  <cols>
    <col min="1" max="1" width="33.19921875" bestFit="1" customWidth="1"/>
    <col min="2" max="2" width="21.19921875" style="1" bestFit="1" customWidth="1"/>
    <col min="3" max="3" width="22" style="1" bestFit="1" customWidth="1"/>
    <col min="4" max="4" width="28" style="1" bestFit="1" customWidth="1"/>
    <col min="5" max="5" width="11" style="1" hidden="1" customWidth="1"/>
    <col min="6" max="6" width="7.59765625" style="1" hidden="1" customWidth="1"/>
    <col min="7" max="7" width="33.19921875" bestFit="1" customWidth="1"/>
    <col min="8" max="8" width="28.69921875" bestFit="1" customWidth="1"/>
    <col min="9" max="9" width="14.5" hidden="1" customWidth="1"/>
    <col min="18" max="18" width="20" bestFit="1" customWidth="1"/>
  </cols>
  <sheetData>
    <row r="1" spans="1:9" x14ac:dyDescent="0.3">
      <c r="A1" s="2" t="s">
        <v>0</v>
      </c>
      <c r="B1" s="4" t="str">
        <f>('Master Table'!H5)</f>
        <v>Steve</v>
      </c>
      <c r="G1" s="22"/>
    </row>
    <row r="2" spans="1:9" x14ac:dyDescent="0.3">
      <c r="C2" s="26" t="s">
        <v>48</v>
      </c>
      <c r="D2" s="25"/>
      <c r="G2" s="22"/>
    </row>
    <row r="3" spans="1:9" x14ac:dyDescent="0.3">
      <c r="A3" s="13" t="s">
        <v>1</v>
      </c>
      <c r="B3" s="13" t="s">
        <v>2</v>
      </c>
      <c r="C3" s="13" t="s">
        <v>3</v>
      </c>
      <c r="D3" s="13" t="s">
        <v>4</v>
      </c>
      <c r="E3" s="20" t="s">
        <v>40</v>
      </c>
      <c r="G3" s="21"/>
      <c r="I3" t="s">
        <v>40</v>
      </c>
    </row>
    <row r="4" spans="1:9" x14ac:dyDescent="0.3">
      <c r="A4" t="s">
        <v>37</v>
      </c>
      <c r="B4" s="8">
        <v>44927</v>
      </c>
      <c r="C4" s="9">
        <v>44928</v>
      </c>
      <c r="D4" s="10">
        <v>44555</v>
      </c>
      <c r="E4" s="1" t="b">
        <f ca="1">AND(Table7[[#This Row],[Date Completed]]&gt;=TODAY()-5,Table7[[#This Row],[Date Completed]]&lt;=TODAY())</f>
        <v>0</v>
      </c>
      <c r="G4" s="21"/>
      <c r="I4" t="b">
        <v>1</v>
      </c>
    </row>
    <row r="5" spans="1:9" x14ac:dyDescent="0.3">
      <c r="A5" s="3" t="s">
        <v>14</v>
      </c>
      <c r="B5" s="8">
        <v>44927</v>
      </c>
      <c r="C5" s="9">
        <v>44928</v>
      </c>
      <c r="D5" s="10">
        <v>44559</v>
      </c>
      <c r="E5" s="1" t="b">
        <f ca="1">AND(Table7[[#This Row],[Date Completed]]&gt;=TODAY()-5,Table7[[#This Row],[Date Completed]]&lt;=TODAY())</f>
        <v>1</v>
      </c>
      <c r="G5" s="21"/>
    </row>
    <row r="6" spans="1:9" x14ac:dyDescent="0.3">
      <c r="A6" s="3" t="s">
        <v>12</v>
      </c>
      <c r="B6" s="8">
        <v>44927</v>
      </c>
      <c r="C6" s="9">
        <v>44928</v>
      </c>
      <c r="D6" s="10">
        <v>44558</v>
      </c>
      <c r="E6" s="1" t="b">
        <f ca="1">AND(Table7[[#This Row],[Date Completed]]&gt;=TODAY()-5,Table7[[#This Row],[Date Completed]]&lt;=TODAY())</f>
        <v>1</v>
      </c>
      <c r="H6" s="18" t="s">
        <v>41</v>
      </c>
    </row>
    <row r="7" spans="1:9" x14ac:dyDescent="0.3">
      <c r="A7" s="3" t="s">
        <v>13</v>
      </c>
      <c r="B7" s="8">
        <v>44927</v>
      </c>
      <c r="C7" s="9">
        <v>44928</v>
      </c>
      <c r="D7" s="10">
        <v>44555</v>
      </c>
      <c r="E7" s="1" t="b">
        <f ca="1">AND(Table7[[#This Row],[Date Completed]]&gt;=TODAY()-5,Table7[[#This Row],[Date Completed]]&lt;=TODAY())</f>
        <v>0</v>
      </c>
      <c r="G7" s="15" t="s">
        <v>1</v>
      </c>
      <c r="H7" s="13" t="s">
        <v>4</v>
      </c>
      <c r="I7" s="16" t="s">
        <v>40</v>
      </c>
    </row>
    <row r="8" spans="1:9" x14ac:dyDescent="0.3">
      <c r="A8" s="3"/>
      <c r="G8" s="3" t="s">
        <v>14</v>
      </c>
      <c r="H8" s="10">
        <v>44559</v>
      </c>
      <c r="I8" s="1" t="b">
        <v>1</v>
      </c>
    </row>
    <row r="9" spans="1:9" x14ac:dyDescent="0.3">
      <c r="A9" s="3"/>
      <c r="G9" s="3" t="s">
        <v>12</v>
      </c>
      <c r="H9" s="10">
        <v>44558</v>
      </c>
      <c r="I9" s="1" t="b">
        <v>1</v>
      </c>
    </row>
    <row r="10" spans="1:9" x14ac:dyDescent="0.3">
      <c r="A10" s="3"/>
      <c r="G10" s="3"/>
      <c r="H10" s="10"/>
      <c r="I10" s="1"/>
    </row>
    <row r="11" spans="1:9" x14ac:dyDescent="0.3">
      <c r="A11" s="3"/>
    </row>
    <row r="12" spans="1:9" x14ac:dyDescent="0.3">
      <c r="A12" s="3"/>
    </row>
    <row r="13" spans="1:9" x14ac:dyDescent="0.3">
      <c r="A13" s="3"/>
    </row>
    <row r="14" spans="1:9" x14ac:dyDescent="0.3">
      <c r="A14" s="3"/>
    </row>
    <row r="15" spans="1:9" x14ac:dyDescent="0.3">
      <c r="A15" s="3"/>
    </row>
    <row r="16" spans="1:9" x14ac:dyDescent="0.3">
      <c r="A16" s="3"/>
    </row>
    <row r="17" spans="1:1" x14ac:dyDescent="0.3">
      <c r="A17" s="3"/>
    </row>
    <row r="18" spans="1:1" x14ac:dyDescent="0.3">
      <c r="A18" s="3"/>
    </row>
    <row r="19" spans="1:1" x14ac:dyDescent="0.3">
      <c r="A19" s="3"/>
    </row>
    <row r="20" spans="1:1" x14ac:dyDescent="0.3">
      <c r="A20" s="3"/>
    </row>
    <row r="21" spans="1:1" x14ac:dyDescent="0.3">
      <c r="A21" s="3"/>
    </row>
    <row r="22" spans="1:1" x14ac:dyDescent="0.3">
      <c r="A22" s="3"/>
    </row>
    <row r="23" spans="1:1" x14ac:dyDescent="0.3">
      <c r="A23" s="3"/>
    </row>
    <row r="24" spans="1:1" x14ac:dyDescent="0.3">
      <c r="A24" s="3"/>
    </row>
    <row r="25" spans="1:1" x14ac:dyDescent="0.3">
      <c r="A25" s="3"/>
    </row>
    <row r="26" spans="1:1" x14ac:dyDescent="0.3">
      <c r="A26" s="3"/>
    </row>
    <row r="27" spans="1:1" x14ac:dyDescent="0.3">
      <c r="A27" s="3"/>
    </row>
    <row r="28" spans="1:1" x14ac:dyDescent="0.3">
      <c r="A28" s="3"/>
    </row>
    <row r="29" spans="1:1" x14ac:dyDescent="0.3">
      <c r="A29" s="3"/>
    </row>
    <row r="30" spans="1:1" x14ac:dyDescent="0.3">
      <c r="A30" s="3"/>
    </row>
    <row r="31" spans="1:1" x14ac:dyDescent="0.3">
      <c r="A31" s="3"/>
    </row>
    <row r="32" spans="1:1" x14ac:dyDescent="0.3">
      <c r="A32" s="3"/>
    </row>
    <row r="33" spans="1:1" x14ac:dyDescent="0.3">
      <c r="A33" s="3"/>
    </row>
    <row r="34" spans="1:1" x14ac:dyDescent="0.3">
      <c r="A34" s="3"/>
    </row>
    <row r="35" spans="1:1" x14ac:dyDescent="0.3">
      <c r="A35" s="3"/>
    </row>
    <row r="36" spans="1:1" x14ac:dyDescent="0.3">
      <c r="A36" s="3"/>
    </row>
    <row r="37" spans="1:1" x14ac:dyDescent="0.3">
      <c r="A37" s="3"/>
    </row>
    <row r="38" spans="1:1" x14ac:dyDescent="0.3">
      <c r="A38" s="3"/>
    </row>
    <row r="39" spans="1:1" x14ac:dyDescent="0.3">
      <c r="A39" s="3"/>
    </row>
    <row r="40" spans="1:1" x14ac:dyDescent="0.3">
      <c r="A40" s="3"/>
    </row>
    <row r="41" spans="1:1" x14ac:dyDescent="0.3">
      <c r="A41" s="3"/>
    </row>
    <row r="42" spans="1:1" x14ac:dyDescent="0.3">
      <c r="A42" s="3"/>
    </row>
    <row r="43" spans="1:1" x14ac:dyDescent="0.3">
      <c r="A43" s="3"/>
    </row>
    <row r="44" spans="1:1" x14ac:dyDescent="0.3">
      <c r="A44" s="3"/>
    </row>
    <row r="45" spans="1:1" x14ac:dyDescent="0.3">
      <c r="A45" s="3"/>
    </row>
    <row r="46" spans="1:1" x14ac:dyDescent="0.3">
      <c r="A46" s="3"/>
    </row>
    <row r="47" spans="1:1" x14ac:dyDescent="0.3">
      <c r="A47" s="3"/>
    </row>
    <row r="48" spans="1:1" x14ac:dyDescent="0.3">
      <c r="A48" s="3"/>
    </row>
    <row r="49" spans="1:1" x14ac:dyDescent="0.3">
      <c r="A49" s="3"/>
    </row>
    <row r="50" spans="1:1" x14ac:dyDescent="0.3">
      <c r="A50" s="3"/>
    </row>
    <row r="51" spans="1:1" x14ac:dyDescent="0.3">
      <c r="A51" s="3"/>
    </row>
    <row r="52" spans="1:1" x14ac:dyDescent="0.3">
      <c r="A52" s="3"/>
    </row>
    <row r="53" spans="1:1" x14ac:dyDescent="0.3">
      <c r="A53" s="3"/>
    </row>
    <row r="54" spans="1:1" x14ac:dyDescent="0.3">
      <c r="A54" s="3"/>
    </row>
    <row r="55" spans="1:1" x14ac:dyDescent="0.3">
      <c r="A55" s="3"/>
    </row>
    <row r="56" spans="1:1" x14ac:dyDescent="0.3">
      <c r="A56" s="3"/>
    </row>
    <row r="57" spans="1:1" x14ac:dyDescent="0.3">
      <c r="A57" s="3"/>
    </row>
    <row r="58" spans="1:1" x14ac:dyDescent="0.3">
      <c r="A58" s="3"/>
    </row>
    <row r="59" spans="1:1" x14ac:dyDescent="0.3">
      <c r="A59" s="3"/>
    </row>
    <row r="60" spans="1:1" x14ac:dyDescent="0.3">
      <c r="A60" s="3"/>
    </row>
    <row r="61" spans="1:1" x14ac:dyDescent="0.3">
      <c r="A61" s="3"/>
    </row>
    <row r="62" spans="1:1" x14ac:dyDescent="0.3">
      <c r="A62" s="3"/>
    </row>
    <row r="63" spans="1:1" x14ac:dyDescent="0.3">
      <c r="A63" s="3"/>
    </row>
    <row r="64" spans="1:1" x14ac:dyDescent="0.3">
      <c r="A64" s="3"/>
    </row>
    <row r="65" spans="1:1" x14ac:dyDescent="0.3">
      <c r="A65" s="3"/>
    </row>
    <row r="66" spans="1:1" x14ac:dyDescent="0.3">
      <c r="A66" s="3"/>
    </row>
    <row r="67" spans="1:1" x14ac:dyDescent="0.3">
      <c r="A67" s="3"/>
    </row>
    <row r="68" spans="1:1" x14ac:dyDescent="0.3">
      <c r="A68" s="3"/>
    </row>
    <row r="69" spans="1:1" x14ac:dyDescent="0.3">
      <c r="A69" s="3"/>
    </row>
    <row r="70" spans="1:1" x14ac:dyDescent="0.3">
      <c r="A70" s="3"/>
    </row>
    <row r="71" spans="1:1" x14ac:dyDescent="0.3">
      <c r="A71" s="3"/>
    </row>
    <row r="72" spans="1:1" x14ac:dyDescent="0.3">
      <c r="A72" s="3"/>
    </row>
    <row r="73" spans="1:1" x14ac:dyDescent="0.3">
      <c r="A73" s="3"/>
    </row>
    <row r="74" spans="1:1" x14ac:dyDescent="0.3">
      <c r="A74" s="3"/>
    </row>
    <row r="75" spans="1:1" x14ac:dyDescent="0.3">
      <c r="A75" s="3"/>
    </row>
    <row r="76" spans="1:1" x14ac:dyDescent="0.3">
      <c r="A76" s="3"/>
    </row>
    <row r="77" spans="1:1" x14ac:dyDescent="0.3">
      <c r="A77" s="3"/>
    </row>
    <row r="78" spans="1:1" x14ac:dyDescent="0.3">
      <c r="A78" s="3"/>
    </row>
    <row r="79" spans="1:1" x14ac:dyDescent="0.3">
      <c r="A79" s="3"/>
    </row>
    <row r="80" spans="1:1" x14ac:dyDescent="0.3">
      <c r="A80" s="3"/>
    </row>
    <row r="81" spans="1:1" x14ac:dyDescent="0.3">
      <c r="A81" s="3"/>
    </row>
    <row r="82" spans="1:1" x14ac:dyDescent="0.3">
      <c r="A82" s="3"/>
    </row>
    <row r="83" spans="1:1" x14ac:dyDescent="0.3">
      <c r="A83" s="3"/>
    </row>
    <row r="84" spans="1:1" x14ac:dyDescent="0.3">
      <c r="A84" s="3"/>
    </row>
    <row r="85" spans="1:1" x14ac:dyDescent="0.3">
      <c r="A85" s="3"/>
    </row>
    <row r="86" spans="1:1" x14ac:dyDescent="0.3">
      <c r="A86" s="3"/>
    </row>
    <row r="87" spans="1:1" x14ac:dyDescent="0.3">
      <c r="A87" s="3"/>
    </row>
    <row r="88" spans="1:1" x14ac:dyDescent="0.3">
      <c r="A88" s="3"/>
    </row>
    <row r="89" spans="1:1" x14ac:dyDescent="0.3">
      <c r="A89" s="3"/>
    </row>
    <row r="90" spans="1:1" x14ac:dyDescent="0.3">
      <c r="A90" s="3"/>
    </row>
    <row r="91" spans="1:1" x14ac:dyDescent="0.3">
      <c r="A91" s="3"/>
    </row>
    <row r="92" spans="1:1" x14ac:dyDescent="0.3">
      <c r="A92" s="3"/>
    </row>
    <row r="93" spans="1:1" x14ac:dyDescent="0.3">
      <c r="A93" s="3"/>
    </row>
    <row r="94" spans="1:1" x14ac:dyDescent="0.3">
      <c r="A94" s="3"/>
    </row>
    <row r="95" spans="1:1" x14ac:dyDescent="0.3">
      <c r="A95" s="3"/>
    </row>
    <row r="96" spans="1:1" x14ac:dyDescent="0.3">
      <c r="A96" s="3"/>
    </row>
    <row r="97" spans="1:1" x14ac:dyDescent="0.3">
      <c r="A97" s="3"/>
    </row>
    <row r="98" spans="1:1" x14ac:dyDescent="0.3">
      <c r="A98" s="3"/>
    </row>
    <row r="99" spans="1:1" x14ac:dyDescent="0.3">
      <c r="A99" s="3"/>
    </row>
    <row r="100" spans="1:1" x14ac:dyDescent="0.3">
      <c r="A100" s="3"/>
    </row>
    <row r="101" spans="1:1" x14ac:dyDescent="0.3">
      <c r="A101" s="3"/>
    </row>
    <row r="102" spans="1:1" x14ac:dyDescent="0.3">
      <c r="A102" s="3"/>
    </row>
    <row r="103" spans="1:1" x14ac:dyDescent="0.3">
      <c r="A103" s="3"/>
    </row>
    <row r="104" spans="1:1" x14ac:dyDescent="0.3">
      <c r="A104" s="3"/>
    </row>
    <row r="105" spans="1:1" x14ac:dyDescent="0.3">
      <c r="A105" s="3"/>
    </row>
    <row r="106" spans="1:1" x14ac:dyDescent="0.3">
      <c r="A106" s="3"/>
    </row>
    <row r="107" spans="1:1" x14ac:dyDescent="0.3">
      <c r="A107" s="3"/>
    </row>
    <row r="108" spans="1:1" x14ac:dyDescent="0.3">
      <c r="A108" s="3"/>
    </row>
    <row r="109" spans="1:1" x14ac:dyDescent="0.3">
      <c r="A109" s="3"/>
    </row>
    <row r="110" spans="1:1" x14ac:dyDescent="0.3">
      <c r="A110" s="3"/>
    </row>
    <row r="111" spans="1:1" x14ac:dyDescent="0.3">
      <c r="A111" s="3"/>
    </row>
    <row r="112" spans="1:1" x14ac:dyDescent="0.3">
      <c r="A112" s="3"/>
    </row>
    <row r="113" spans="1:1" x14ac:dyDescent="0.3">
      <c r="A113" s="3"/>
    </row>
    <row r="114" spans="1:1" x14ac:dyDescent="0.3">
      <c r="A114" s="3"/>
    </row>
    <row r="115" spans="1:1" x14ac:dyDescent="0.3">
      <c r="A115" s="3"/>
    </row>
    <row r="116" spans="1:1" x14ac:dyDescent="0.3">
      <c r="A116" s="3"/>
    </row>
    <row r="117" spans="1:1" x14ac:dyDescent="0.3">
      <c r="A117" s="3"/>
    </row>
    <row r="118" spans="1:1" x14ac:dyDescent="0.3">
      <c r="A118" s="3"/>
    </row>
    <row r="119" spans="1:1" x14ac:dyDescent="0.3">
      <c r="A119" s="3"/>
    </row>
    <row r="120" spans="1:1" x14ac:dyDescent="0.3">
      <c r="A120" s="3"/>
    </row>
    <row r="121" spans="1:1" x14ac:dyDescent="0.3">
      <c r="A121" s="3"/>
    </row>
    <row r="122" spans="1:1" x14ac:dyDescent="0.3">
      <c r="A122" s="3"/>
    </row>
    <row r="123" spans="1:1" x14ac:dyDescent="0.3">
      <c r="A123" s="3"/>
    </row>
    <row r="124" spans="1:1" x14ac:dyDescent="0.3">
      <c r="A124" s="3"/>
    </row>
    <row r="125" spans="1:1" x14ac:dyDescent="0.3">
      <c r="A125" s="3"/>
    </row>
    <row r="126" spans="1:1" x14ac:dyDescent="0.3">
      <c r="A126" s="3"/>
    </row>
    <row r="127" spans="1:1" x14ac:dyDescent="0.3">
      <c r="A127" s="3"/>
    </row>
    <row r="128" spans="1:1" x14ac:dyDescent="0.3">
      <c r="A128" s="3"/>
    </row>
    <row r="129" spans="1:1" x14ac:dyDescent="0.3">
      <c r="A129" s="3"/>
    </row>
    <row r="130" spans="1:1" x14ac:dyDescent="0.3">
      <c r="A130" s="3"/>
    </row>
    <row r="131" spans="1:1" x14ac:dyDescent="0.3">
      <c r="A131" s="3"/>
    </row>
    <row r="132" spans="1:1" x14ac:dyDescent="0.3">
      <c r="A132" s="3"/>
    </row>
    <row r="133" spans="1:1" x14ac:dyDescent="0.3">
      <c r="A133" s="3"/>
    </row>
    <row r="134" spans="1:1" x14ac:dyDescent="0.3">
      <c r="A134" s="3"/>
    </row>
    <row r="135" spans="1:1" x14ac:dyDescent="0.3">
      <c r="A135" s="3"/>
    </row>
    <row r="136" spans="1:1" x14ac:dyDescent="0.3">
      <c r="A136" s="3"/>
    </row>
    <row r="137" spans="1:1" x14ac:dyDescent="0.3">
      <c r="A137" s="3"/>
    </row>
    <row r="138" spans="1:1" x14ac:dyDescent="0.3">
      <c r="A138" s="3"/>
    </row>
    <row r="139" spans="1:1" x14ac:dyDescent="0.3">
      <c r="A139" s="3"/>
    </row>
    <row r="140" spans="1:1" x14ac:dyDescent="0.3">
      <c r="A140" s="3"/>
    </row>
    <row r="141" spans="1:1" x14ac:dyDescent="0.3">
      <c r="A141" s="3"/>
    </row>
    <row r="142" spans="1:1" x14ac:dyDescent="0.3">
      <c r="A142" s="3"/>
    </row>
    <row r="143" spans="1:1" x14ac:dyDescent="0.3">
      <c r="A143" s="3"/>
    </row>
    <row r="144" spans="1:1" x14ac:dyDescent="0.3">
      <c r="A144" s="3"/>
    </row>
    <row r="145" spans="1:1" x14ac:dyDescent="0.3">
      <c r="A145" s="3"/>
    </row>
    <row r="146" spans="1:1" x14ac:dyDescent="0.3">
      <c r="A146" s="3"/>
    </row>
    <row r="147" spans="1:1" x14ac:dyDescent="0.3">
      <c r="A147" s="3"/>
    </row>
    <row r="148" spans="1:1" x14ac:dyDescent="0.3">
      <c r="A148" s="3"/>
    </row>
    <row r="149" spans="1:1" x14ac:dyDescent="0.3">
      <c r="A149" s="3"/>
    </row>
    <row r="150" spans="1:1" x14ac:dyDescent="0.3">
      <c r="A150" s="3"/>
    </row>
    <row r="151" spans="1:1" x14ac:dyDescent="0.3">
      <c r="A151" s="3"/>
    </row>
    <row r="152" spans="1:1" x14ac:dyDescent="0.3">
      <c r="A152" s="3"/>
    </row>
    <row r="153" spans="1:1" x14ac:dyDescent="0.3">
      <c r="A153" s="3"/>
    </row>
    <row r="154" spans="1:1" x14ac:dyDescent="0.3">
      <c r="A154" s="3"/>
    </row>
    <row r="155" spans="1:1" x14ac:dyDescent="0.3">
      <c r="A155" s="3"/>
    </row>
    <row r="156" spans="1:1" x14ac:dyDescent="0.3">
      <c r="A156" s="3"/>
    </row>
    <row r="157" spans="1:1" x14ac:dyDescent="0.3">
      <c r="A157" s="3"/>
    </row>
    <row r="158" spans="1:1" x14ac:dyDescent="0.3">
      <c r="A158" s="3"/>
    </row>
    <row r="159" spans="1:1" x14ac:dyDescent="0.3">
      <c r="A159" s="3"/>
    </row>
    <row r="160" spans="1:1" x14ac:dyDescent="0.3">
      <c r="A160" s="3"/>
    </row>
    <row r="161" spans="1:1" x14ac:dyDescent="0.3">
      <c r="A161" s="3"/>
    </row>
    <row r="162" spans="1:1" x14ac:dyDescent="0.3">
      <c r="A162" s="3"/>
    </row>
    <row r="163" spans="1:1" x14ac:dyDescent="0.3">
      <c r="A163" s="3"/>
    </row>
    <row r="164" spans="1:1" x14ac:dyDescent="0.3">
      <c r="A164" s="3"/>
    </row>
    <row r="165" spans="1:1" x14ac:dyDescent="0.3">
      <c r="A165" s="3"/>
    </row>
    <row r="166" spans="1:1" x14ac:dyDescent="0.3">
      <c r="A166" s="3"/>
    </row>
    <row r="167" spans="1:1" x14ac:dyDescent="0.3">
      <c r="A167" s="3"/>
    </row>
    <row r="168" spans="1:1" x14ac:dyDescent="0.3">
      <c r="A168" s="3"/>
    </row>
    <row r="169" spans="1:1" x14ac:dyDescent="0.3">
      <c r="A169" s="3"/>
    </row>
    <row r="170" spans="1:1" x14ac:dyDescent="0.3">
      <c r="A170" s="3"/>
    </row>
    <row r="171" spans="1:1" x14ac:dyDescent="0.3">
      <c r="A171" s="3"/>
    </row>
    <row r="172" spans="1:1" x14ac:dyDescent="0.3">
      <c r="A172" s="3"/>
    </row>
    <row r="173" spans="1:1" x14ac:dyDescent="0.3">
      <c r="A173" s="3"/>
    </row>
    <row r="174" spans="1:1" x14ac:dyDescent="0.3">
      <c r="A174" s="3"/>
    </row>
    <row r="175" spans="1:1" x14ac:dyDescent="0.3">
      <c r="A175" s="3"/>
    </row>
    <row r="176" spans="1:1" x14ac:dyDescent="0.3">
      <c r="A176" s="3"/>
    </row>
    <row r="177" spans="1:1" x14ac:dyDescent="0.3">
      <c r="A177" s="3"/>
    </row>
    <row r="178" spans="1:1" x14ac:dyDescent="0.3">
      <c r="A178" s="3"/>
    </row>
    <row r="179" spans="1:1" x14ac:dyDescent="0.3">
      <c r="A179" s="3"/>
    </row>
    <row r="180" spans="1:1" x14ac:dyDescent="0.3">
      <c r="A180" s="3"/>
    </row>
    <row r="181" spans="1:1" x14ac:dyDescent="0.3">
      <c r="A181" s="3"/>
    </row>
    <row r="182" spans="1:1" x14ac:dyDescent="0.3">
      <c r="A182" s="3"/>
    </row>
    <row r="183" spans="1:1" x14ac:dyDescent="0.3">
      <c r="A183" s="3"/>
    </row>
    <row r="184" spans="1:1" x14ac:dyDescent="0.3">
      <c r="A184" s="3"/>
    </row>
    <row r="185" spans="1:1" x14ac:dyDescent="0.3">
      <c r="A185" s="3"/>
    </row>
    <row r="186" spans="1:1" x14ac:dyDescent="0.3">
      <c r="A186" s="3"/>
    </row>
    <row r="187" spans="1:1" x14ac:dyDescent="0.3">
      <c r="A187" s="3"/>
    </row>
    <row r="188" spans="1:1" x14ac:dyDescent="0.3">
      <c r="A188" s="3"/>
    </row>
    <row r="189" spans="1:1" x14ac:dyDescent="0.3">
      <c r="A189" s="3"/>
    </row>
    <row r="190" spans="1:1" x14ac:dyDescent="0.3">
      <c r="A190" s="3"/>
    </row>
    <row r="191" spans="1:1" x14ac:dyDescent="0.3">
      <c r="A191" s="3"/>
    </row>
    <row r="192" spans="1:1" x14ac:dyDescent="0.3">
      <c r="A192" s="3"/>
    </row>
    <row r="193" spans="1:1" x14ac:dyDescent="0.3">
      <c r="A193" s="3"/>
    </row>
    <row r="194" spans="1:1" x14ac:dyDescent="0.3">
      <c r="A194" s="3"/>
    </row>
    <row r="195" spans="1:1" x14ac:dyDescent="0.3">
      <c r="A195" s="3"/>
    </row>
    <row r="196" spans="1:1" x14ac:dyDescent="0.3">
      <c r="A196" s="3"/>
    </row>
    <row r="197" spans="1:1" x14ac:dyDescent="0.3">
      <c r="A197" s="3"/>
    </row>
    <row r="198" spans="1:1" x14ac:dyDescent="0.3">
      <c r="A198" s="3"/>
    </row>
    <row r="199" spans="1:1" x14ac:dyDescent="0.3">
      <c r="A199" s="3"/>
    </row>
    <row r="200" spans="1:1" x14ac:dyDescent="0.3">
      <c r="A200" s="3"/>
    </row>
    <row r="201" spans="1:1" x14ac:dyDescent="0.3">
      <c r="A201" s="3"/>
    </row>
    <row r="202" spans="1:1" x14ac:dyDescent="0.3">
      <c r="A202" s="3"/>
    </row>
    <row r="203" spans="1:1" x14ac:dyDescent="0.3">
      <c r="A203" s="3"/>
    </row>
    <row r="204" spans="1:1" x14ac:dyDescent="0.3">
      <c r="A204" s="3"/>
    </row>
    <row r="205" spans="1:1" x14ac:dyDescent="0.3">
      <c r="A205" s="3"/>
    </row>
    <row r="206" spans="1:1" x14ac:dyDescent="0.3">
      <c r="A206" s="3"/>
    </row>
    <row r="207" spans="1:1" x14ac:dyDescent="0.3">
      <c r="A207" s="3"/>
    </row>
    <row r="208" spans="1:1" x14ac:dyDescent="0.3">
      <c r="A208" s="3"/>
    </row>
    <row r="209" spans="1:1" x14ac:dyDescent="0.3">
      <c r="A209" s="3"/>
    </row>
    <row r="210" spans="1:1" x14ac:dyDescent="0.3">
      <c r="A210" s="3"/>
    </row>
    <row r="211" spans="1:1" x14ac:dyDescent="0.3">
      <c r="A211" s="3"/>
    </row>
    <row r="212" spans="1:1" x14ac:dyDescent="0.3">
      <c r="A212" s="3"/>
    </row>
    <row r="213" spans="1:1" x14ac:dyDescent="0.3">
      <c r="A213" s="3"/>
    </row>
    <row r="214" spans="1:1" x14ac:dyDescent="0.3">
      <c r="A214" s="3"/>
    </row>
    <row r="215" spans="1:1" x14ac:dyDescent="0.3">
      <c r="A215" s="3"/>
    </row>
    <row r="216" spans="1:1" x14ac:dyDescent="0.3">
      <c r="A216" s="3"/>
    </row>
    <row r="217" spans="1:1" x14ac:dyDescent="0.3">
      <c r="A217" s="3"/>
    </row>
    <row r="218" spans="1:1" x14ac:dyDescent="0.3">
      <c r="A218" s="3"/>
    </row>
    <row r="219" spans="1:1" x14ac:dyDescent="0.3">
      <c r="A219" s="3"/>
    </row>
    <row r="220" spans="1:1" x14ac:dyDescent="0.3">
      <c r="A220" s="3"/>
    </row>
    <row r="221" spans="1:1" x14ac:dyDescent="0.3">
      <c r="A221" s="3"/>
    </row>
    <row r="222" spans="1:1" x14ac:dyDescent="0.3">
      <c r="A222" s="3"/>
    </row>
    <row r="223" spans="1:1" x14ac:dyDescent="0.3">
      <c r="A223" s="3"/>
    </row>
    <row r="224" spans="1:1" x14ac:dyDescent="0.3">
      <c r="A224" s="3"/>
    </row>
    <row r="225" spans="1:1" x14ac:dyDescent="0.3">
      <c r="A225" s="3"/>
    </row>
    <row r="226" spans="1:1" x14ac:dyDescent="0.3">
      <c r="A226" s="3"/>
    </row>
    <row r="227" spans="1:1" x14ac:dyDescent="0.3">
      <c r="A227" s="3"/>
    </row>
    <row r="228" spans="1:1" x14ac:dyDescent="0.3">
      <c r="A228" s="3"/>
    </row>
    <row r="229" spans="1:1" x14ac:dyDescent="0.3">
      <c r="A229" s="3"/>
    </row>
    <row r="230" spans="1:1" x14ac:dyDescent="0.3">
      <c r="A230" s="3"/>
    </row>
    <row r="231" spans="1:1" x14ac:dyDescent="0.3">
      <c r="A231" s="3"/>
    </row>
    <row r="232" spans="1:1" x14ac:dyDescent="0.3">
      <c r="A232" s="3"/>
    </row>
    <row r="233" spans="1:1" x14ac:dyDescent="0.3">
      <c r="A233" s="3"/>
    </row>
    <row r="234" spans="1:1" x14ac:dyDescent="0.3">
      <c r="A234" s="3"/>
    </row>
    <row r="235" spans="1:1" x14ac:dyDescent="0.3">
      <c r="A235" s="3"/>
    </row>
    <row r="236" spans="1:1" x14ac:dyDescent="0.3">
      <c r="A236" s="3"/>
    </row>
    <row r="237" spans="1:1" x14ac:dyDescent="0.3">
      <c r="A237" s="3"/>
    </row>
    <row r="238" spans="1:1" x14ac:dyDescent="0.3">
      <c r="A238" s="3"/>
    </row>
    <row r="239" spans="1:1" x14ac:dyDescent="0.3">
      <c r="A239" s="3"/>
    </row>
    <row r="240" spans="1:1" x14ac:dyDescent="0.3">
      <c r="A240" s="3"/>
    </row>
    <row r="241" spans="1:1" x14ac:dyDescent="0.3">
      <c r="A241" s="3"/>
    </row>
    <row r="242" spans="1:1" x14ac:dyDescent="0.3">
      <c r="A242" s="3"/>
    </row>
    <row r="243" spans="1:1" x14ac:dyDescent="0.3">
      <c r="A243" s="3"/>
    </row>
    <row r="244" spans="1:1" x14ac:dyDescent="0.3">
      <c r="A244" s="3"/>
    </row>
    <row r="245" spans="1:1" x14ac:dyDescent="0.3">
      <c r="A245" s="3"/>
    </row>
    <row r="246" spans="1:1" x14ac:dyDescent="0.3">
      <c r="A246" s="3"/>
    </row>
    <row r="247" spans="1:1" x14ac:dyDescent="0.3">
      <c r="A247" s="3"/>
    </row>
    <row r="248" spans="1:1" x14ac:dyDescent="0.3">
      <c r="A248" s="3"/>
    </row>
    <row r="249" spans="1:1" x14ac:dyDescent="0.3">
      <c r="A249" s="3"/>
    </row>
    <row r="250" spans="1:1" x14ac:dyDescent="0.3">
      <c r="A250" s="3"/>
    </row>
    <row r="251" spans="1:1" x14ac:dyDescent="0.3">
      <c r="A251" s="3"/>
    </row>
    <row r="252" spans="1:1" x14ac:dyDescent="0.3">
      <c r="A252" s="3"/>
    </row>
    <row r="253" spans="1:1" x14ac:dyDescent="0.3">
      <c r="A253" s="3"/>
    </row>
    <row r="254" spans="1:1" x14ac:dyDescent="0.3">
      <c r="A254" s="3"/>
    </row>
    <row r="255" spans="1:1" x14ac:dyDescent="0.3">
      <c r="A255" s="3"/>
    </row>
    <row r="256" spans="1:1" x14ac:dyDescent="0.3">
      <c r="A256" s="3"/>
    </row>
    <row r="257" spans="1:1" x14ac:dyDescent="0.3">
      <c r="A257" s="3"/>
    </row>
    <row r="258" spans="1:1" x14ac:dyDescent="0.3">
      <c r="A258" s="3"/>
    </row>
    <row r="259" spans="1:1" x14ac:dyDescent="0.3">
      <c r="A259" s="3"/>
    </row>
    <row r="260" spans="1:1" x14ac:dyDescent="0.3">
      <c r="A260" s="3"/>
    </row>
    <row r="261" spans="1:1" x14ac:dyDescent="0.3">
      <c r="A261" s="3"/>
    </row>
    <row r="262" spans="1:1" x14ac:dyDescent="0.3">
      <c r="A262" s="3"/>
    </row>
    <row r="263" spans="1:1" x14ac:dyDescent="0.3">
      <c r="A263" s="3"/>
    </row>
    <row r="264" spans="1:1" x14ac:dyDescent="0.3">
      <c r="A264" s="3"/>
    </row>
    <row r="265" spans="1:1" x14ac:dyDescent="0.3">
      <c r="A265" s="3"/>
    </row>
    <row r="266" spans="1:1" x14ac:dyDescent="0.3">
      <c r="A266" s="3"/>
    </row>
    <row r="267" spans="1:1" x14ac:dyDescent="0.3">
      <c r="A267" s="3"/>
    </row>
    <row r="268" spans="1:1" x14ac:dyDescent="0.3">
      <c r="A268" s="3"/>
    </row>
    <row r="269" spans="1:1" x14ac:dyDescent="0.3">
      <c r="A269" s="3"/>
    </row>
    <row r="270" spans="1:1" x14ac:dyDescent="0.3">
      <c r="A270" s="3"/>
    </row>
    <row r="271" spans="1:1" x14ac:dyDescent="0.3">
      <c r="A271" s="3"/>
    </row>
    <row r="272" spans="1:1" x14ac:dyDescent="0.3">
      <c r="A272" s="3"/>
    </row>
    <row r="273" spans="1:1" x14ac:dyDescent="0.3">
      <c r="A273" s="3"/>
    </row>
    <row r="274" spans="1:1" x14ac:dyDescent="0.3">
      <c r="A274" s="3"/>
    </row>
    <row r="275" spans="1:1" x14ac:dyDescent="0.3">
      <c r="A275" s="3"/>
    </row>
    <row r="276" spans="1:1" x14ac:dyDescent="0.3">
      <c r="A276" s="3"/>
    </row>
    <row r="277" spans="1:1" x14ac:dyDescent="0.3">
      <c r="A277" s="3"/>
    </row>
    <row r="278" spans="1:1" x14ac:dyDescent="0.3">
      <c r="A278" s="3"/>
    </row>
    <row r="279" spans="1:1" x14ac:dyDescent="0.3">
      <c r="A279" s="3"/>
    </row>
    <row r="280" spans="1:1" x14ac:dyDescent="0.3">
      <c r="A280" s="3"/>
    </row>
    <row r="281" spans="1:1" x14ac:dyDescent="0.3">
      <c r="A281" s="3"/>
    </row>
    <row r="282" spans="1:1" x14ac:dyDescent="0.3">
      <c r="A282" s="3"/>
    </row>
    <row r="283" spans="1:1" x14ac:dyDescent="0.3">
      <c r="A283" s="3"/>
    </row>
    <row r="284" spans="1:1" x14ac:dyDescent="0.3">
      <c r="A284" s="3"/>
    </row>
    <row r="285" spans="1:1" x14ac:dyDescent="0.3">
      <c r="A285" s="3"/>
    </row>
    <row r="286" spans="1:1" x14ac:dyDescent="0.3">
      <c r="A286" s="3"/>
    </row>
    <row r="287" spans="1:1" x14ac:dyDescent="0.3">
      <c r="A287" s="3"/>
    </row>
    <row r="288" spans="1:1" x14ac:dyDescent="0.3">
      <c r="A288" s="3"/>
    </row>
    <row r="289" spans="1:1" x14ac:dyDescent="0.3">
      <c r="A289" s="3"/>
    </row>
    <row r="290" spans="1:1" x14ac:dyDescent="0.3">
      <c r="A290" s="3"/>
    </row>
    <row r="291" spans="1:1" x14ac:dyDescent="0.3">
      <c r="A291" s="3"/>
    </row>
    <row r="292" spans="1:1" x14ac:dyDescent="0.3">
      <c r="A292" s="3"/>
    </row>
    <row r="293" spans="1:1" x14ac:dyDescent="0.3">
      <c r="A293" s="3"/>
    </row>
    <row r="294" spans="1:1" x14ac:dyDescent="0.3">
      <c r="A294" s="3"/>
    </row>
    <row r="295" spans="1:1" x14ac:dyDescent="0.3">
      <c r="A295" s="3"/>
    </row>
    <row r="296" spans="1:1" x14ac:dyDescent="0.3">
      <c r="A296" s="3"/>
    </row>
    <row r="297" spans="1:1" x14ac:dyDescent="0.3">
      <c r="A297" s="3"/>
    </row>
    <row r="298" spans="1:1" x14ac:dyDescent="0.3">
      <c r="A298" s="3"/>
    </row>
    <row r="299" spans="1:1" x14ac:dyDescent="0.3">
      <c r="A299" s="3"/>
    </row>
    <row r="300" spans="1:1" x14ac:dyDescent="0.3">
      <c r="A300" s="3"/>
    </row>
    <row r="301" spans="1:1" x14ac:dyDescent="0.3">
      <c r="A301" s="3"/>
    </row>
    <row r="302" spans="1:1" x14ac:dyDescent="0.3">
      <c r="A302" s="3"/>
    </row>
    <row r="303" spans="1:1" x14ac:dyDescent="0.3">
      <c r="A303" s="3"/>
    </row>
    <row r="304" spans="1:1" x14ac:dyDescent="0.3">
      <c r="A304" s="3"/>
    </row>
    <row r="305" spans="1:1" x14ac:dyDescent="0.3">
      <c r="A305" s="3"/>
    </row>
    <row r="306" spans="1:1" x14ac:dyDescent="0.3">
      <c r="A306" s="3"/>
    </row>
    <row r="307" spans="1:1" x14ac:dyDescent="0.3">
      <c r="A307" s="3"/>
    </row>
    <row r="308" spans="1:1" x14ac:dyDescent="0.3">
      <c r="A308" s="3"/>
    </row>
    <row r="309" spans="1:1" x14ac:dyDescent="0.3">
      <c r="A309" s="3"/>
    </row>
    <row r="310" spans="1:1" x14ac:dyDescent="0.3">
      <c r="A310" s="3"/>
    </row>
    <row r="311" spans="1:1" x14ac:dyDescent="0.3">
      <c r="A311" s="3"/>
    </row>
    <row r="312" spans="1:1" x14ac:dyDescent="0.3">
      <c r="A312" s="3"/>
    </row>
    <row r="313" spans="1:1" x14ac:dyDescent="0.3">
      <c r="A313" s="3"/>
    </row>
    <row r="314" spans="1:1" x14ac:dyDescent="0.3">
      <c r="A314" s="3"/>
    </row>
    <row r="315" spans="1:1" x14ac:dyDescent="0.3">
      <c r="A315" s="3"/>
    </row>
    <row r="316" spans="1:1" x14ac:dyDescent="0.3">
      <c r="A316" s="3"/>
    </row>
    <row r="317" spans="1:1" x14ac:dyDescent="0.3">
      <c r="A317" s="3"/>
    </row>
    <row r="318" spans="1:1" x14ac:dyDescent="0.3">
      <c r="A318" s="3"/>
    </row>
    <row r="319" spans="1:1" x14ac:dyDescent="0.3">
      <c r="A319" s="3"/>
    </row>
    <row r="320" spans="1:1" x14ac:dyDescent="0.3">
      <c r="A320" s="3"/>
    </row>
    <row r="321" spans="1:1" x14ac:dyDescent="0.3">
      <c r="A321" s="3"/>
    </row>
    <row r="322" spans="1:1" x14ac:dyDescent="0.3">
      <c r="A322" s="3"/>
    </row>
    <row r="323" spans="1:1" x14ac:dyDescent="0.3">
      <c r="A323" s="3"/>
    </row>
    <row r="324" spans="1:1" x14ac:dyDescent="0.3">
      <c r="A324" s="3"/>
    </row>
    <row r="325" spans="1:1" x14ac:dyDescent="0.3">
      <c r="A325" s="3"/>
    </row>
    <row r="326" spans="1:1" x14ac:dyDescent="0.3">
      <c r="A326" s="3"/>
    </row>
    <row r="327" spans="1:1" x14ac:dyDescent="0.3">
      <c r="A327" s="3"/>
    </row>
    <row r="328" spans="1:1" x14ac:dyDescent="0.3">
      <c r="A328" s="3"/>
    </row>
    <row r="329" spans="1:1" x14ac:dyDescent="0.3">
      <c r="A329" s="3"/>
    </row>
    <row r="330" spans="1:1" x14ac:dyDescent="0.3">
      <c r="A330" s="3"/>
    </row>
    <row r="331" spans="1:1" x14ac:dyDescent="0.3">
      <c r="A331" s="3"/>
    </row>
    <row r="332" spans="1:1" x14ac:dyDescent="0.3">
      <c r="A332" s="3"/>
    </row>
    <row r="333" spans="1:1" x14ac:dyDescent="0.3">
      <c r="A333" s="3"/>
    </row>
    <row r="334" spans="1:1" x14ac:dyDescent="0.3">
      <c r="A334" s="3"/>
    </row>
    <row r="335" spans="1:1" x14ac:dyDescent="0.3">
      <c r="A335" s="3"/>
    </row>
    <row r="336" spans="1:1" x14ac:dyDescent="0.3">
      <c r="A336" s="3"/>
    </row>
    <row r="337" spans="1:1" x14ac:dyDescent="0.3">
      <c r="A337" s="3"/>
    </row>
    <row r="338" spans="1:1" x14ac:dyDescent="0.3">
      <c r="A338" s="3"/>
    </row>
    <row r="339" spans="1:1" x14ac:dyDescent="0.3">
      <c r="A339" s="3"/>
    </row>
    <row r="340" spans="1:1" x14ac:dyDescent="0.3">
      <c r="A340" s="3"/>
    </row>
    <row r="341" spans="1:1" x14ac:dyDescent="0.3">
      <c r="A341" s="3"/>
    </row>
    <row r="342" spans="1:1" x14ac:dyDescent="0.3">
      <c r="A342" s="3"/>
    </row>
    <row r="343" spans="1:1" x14ac:dyDescent="0.3">
      <c r="A343" s="3"/>
    </row>
    <row r="344" spans="1:1" x14ac:dyDescent="0.3">
      <c r="A344" s="3"/>
    </row>
    <row r="345" spans="1:1" x14ac:dyDescent="0.3">
      <c r="A345" s="3"/>
    </row>
    <row r="346" spans="1:1" x14ac:dyDescent="0.3">
      <c r="A346" s="3"/>
    </row>
    <row r="347" spans="1:1" x14ac:dyDescent="0.3">
      <c r="A347" s="3"/>
    </row>
    <row r="348" spans="1:1" x14ac:dyDescent="0.3">
      <c r="A348" s="3"/>
    </row>
    <row r="349" spans="1:1" x14ac:dyDescent="0.3">
      <c r="A349" s="3"/>
    </row>
    <row r="350" spans="1:1" x14ac:dyDescent="0.3">
      <c r="A350" s="3"/>
    </row>
    <row r="351" spans="1:1" x14ac:dyDescent="0.3">
      <c r="A351" s="3"/>
    </row>
    <row r="352" spans="1:1" x14ac:dyDescent="0.3">
      <c r="A352" s="3"/>
    </row>
    <row r="353" spans="1:1" x14ac:dyDescent="0.3">
      <c r="A353" s="3"/>
    </row>
    <row r="354" spans="1:1" x14ac:dyDescent="0.3">
      <c r="A354" s="3"/>
    </row>
    <row r="355" spans="1:1" x14ac:dyDescent="0.3">
      <c r="A355" s="3"/>
    </row>
    <row r="356" spans="1:1" x14ac:dyDescent="0.3">
      <c r="A356" s="3"/>
    </row>
    <row r="357" spans="1:1" x14ac:dyDescent="0.3">
      <c r="A357" s="3"/>
    </row>
    <row r="358" spans="1:1" x14ac:dyDescent="0.3">
      <c r="A358" s="3"/>
    </row>
    <row r="359" spans="1:1" x14ac:dyDescent="0.3">
      <c r="A359" s="3"/>
    </row>
    <row r="360" spans="1:1" x14ac:dyDescent="0.3">
      <c r="A360" s="3"/>
    </row>
    <row r="361" spans="1:1" x14ac:dyDescent="0.3">
      <c r="A361" s="3"/>
    </row>
    <row r="362" spans="1:1" x14ac:dyDescent="0.3">
      <c r="A362" s="3"/>
    </row>
    <row r="363" spans="1:1" x14ac:dyDescent="0.3">
      <c r="A363" s="3"/>
    </row>
    <row r="364" spans="1:1" x14ac:dyDescent="0.3">
      <c r="A364" s="3"/>
    </row>
    <row r="365" spans="1:1" x14ac:dyDescent="0.3">
      <c r="A365" s="3"/>
    </row>
    <row r="366" spans="1:1" x14ac:dyDescent="0.3">
      <c r="A366" s="3"/>
    </row>
    <row r="367" spans="1:1" x14ac:dyDescent="0.3">
      <c r="A367" s="3"/>
    </row>
    <row r="368" spans="1:1" x14ac:dyDescent="0.3">
      <c r="A368" s="3"/>
    </row>
    <row r="369" spans="1:1" x14ac:dyDescent="0.3">
      <c r="A369" s="3"/>
    </row>
    <row r="370" spans="1:1" x14ac:dyDescent="0.3">
      <c r="A370" s="3"/>
    </row>
    <row r="371" spans="1:1" x14ac:dyDescent="0.3">
      <c r="A371" s="3"/>
    </row>
    <row r="372" spans="1:1" x14ac:dyDescent="0.3">
      <c r="A372" s="3"/>
    </row>
    <row r="373" spans="1:1" x14ac:dyDescent="0.3">
      <c r="A373" s="3"/>
    </row>
    <row r="374" spans="1:1" x14ac:dyDescent="0.3">
      <c r="A374" s="3"/>
    </row>
    <row r="375" spans="1:1" x14ac:dyDescent="0.3">
      <c r="A375" s="3"/>
    </row>
    <row r="376" spans="1:1" x14ac:dyDescent="0.3">
      <c r="A376" s="3"/>
    </row>
    <row r="377" spans="1:1" x14ac:dyDescent="0.3">
      <c r="A377" s="3"/>
    </row>
    <row r="378" spans="1:1" x14ac:dyDescent="0.3">
      <c r="A378" s="3"/>
    </row>
    <row r="379" spans="1:1" x14ac:dyDescent="0.3">
      <c r="A379" s="3"/>
    </row>
    <row r="380" spans="1:1" x14ac:dyDescent="0.3">
      <c r="A380" s="3"/>
    </row>
    <row r="381" spans="1:1" x14ac:dyDescent="0.3">
      <c r="A381" s="3"/>
    </row>
    <row r="382" spans="1:1" x14ac:dyDescent="0.3">
      <c r="A382" s="3"/>
    </row>
    <row r="383" spans="1:1" x14ac:dyDescent="0.3">
      <c r="A383" s="3"/>
    </row>
    <row r="384" spans="1:1" x14ac:dyDescent="0.3">
      <c r="A384" s="3"/>
    </row>
    <row r="385" spans="1:1" x14ac:dyDescent="0.3">
      <c r="A385" s="3"/>
    </row>
    <row r="386" spans="1:1" x14ac:dyDescent="0.3">
      <c r="A386" s="3"/>
    </row>
    <row r="387" spans="1:1" x14ac:dyDescent="0.3">
      <c r="A387" s="3"/>
    </row>
    <row r="388" spans="1:1" x14ac:dyDescent="0.3">
      <c r="A388" s="3"/>
    </row>
    <row r="389" spans="1:1" x14ac:dyDescent="0.3">
      <c r="A389" s="3"/>
    </row>
    <row r="390" spans="1:1" x14ac:dyDescent="0.3">
      <c r="A390" s="3"/>
    </row>
    <row r="391" spans="1:1" x14ac:dyDescent="0.3">
      <c r="A391" s="3"/>
    </row>
    <row r="392" spans="1:1" x14ac:dyDescent="0.3">
      <c r="A392" s="3"/>
    </row>
    <row r="393" spans="1:1" x14ac:dyDescent="0.3">
      <c r="A393" s="3"/>
    </row>
    <row r="394" spans="1:1" x14ac:dyDescent="0.3">
      <c r="A394" s="3"/>
    </row>
    <row r="395" spans="1:1" x14ac:dyDescent="0.3">
      <c r="A395" s="3"/>
    </row>
    <row r="396" spans="1:1" x14ac:dyDescent="0.3">
      <c r="A396" s="3"/>
    </row>
    <row r="397" spans="1:1" x14ac:dyDescent="0.3">
      <c r="A397" s="3"/>
    </row>
    <row r="398" spans="1:1" x14ac:dyDescent="0.3">
      <c r="A398" s="3"/>
    </row>
    <row r="399" spans="1:1" x14ac:dyDescent="0.3">
      <c r="A399" s="3"/>
    </row>
    <row r="400" spans="1:1" x14ac:dyDescent="0.3">
      <c r="A400" s="3"/>
    </row>
    <row r="401" spans="1:1" x14ac:dyDescent="0.3">
      <c r="A401" s="3"/>
    </row>
    <row r="402" spans="1:1" x14ac:dyDescent="0.3">
      <c r="A402" s="3"/>
    </row>
    <row r="403" spans="1:1" x14ac:dyDescent="0.3">
      <c r="A403" s="3"/>
    </row>
    <row r="404" spans="1:1" x14ac:dyDescent="0.3">
      <c r="A404" s="3"/>
    </row>
    <row r="405" spans="1:1" x14ac:dyDescent="0.3">
      <c r="A405" s="3"/>
    </row>
    <row r="406" spans="1:1" x14ac:dyDescent="0.3">
      <c r="A406" s="3"/>
    </row>
    <row r="407" spans="1:1" x14ac:dyDescent="0.3">
      <c r="A407" s="3"/>
    </row>
    <row r="408" spans="1:1" x14ac:dyDescent="0.3">
      <c r="A408" s="3"/>
    </row>
    <row r="409" spans="1:1" x14ac:dyDescent="0.3">
      <c r="A409" s="3"/>
    </row>
    <row r="410" spans="1:1" x14ac:dyDescent="0.3">
      <c r="A410" s="3"/>
    </row>
    <row r="411" spans="1:1" x14ac:dyDescent="0.3">
      <c r="A411" s="3"/>
    </row>
    <row r="412" spans="1:1" x14ac:dyDescent="0.3">
      <c r="A412" s="3"/>
    </row>
    <row r="413" spans="1:1" x14ac:dyDescent="0.3">
      <c r="A413" s="3"/>
    </row>
    <row r="414" spans="1:1" x14ac:dyDescent="0.3">
      <c r="A414" s="3"/>
    </row>
    <row r="415" spans="1:1" x14ac:dyDescent="0.3">
      <c r="A415" s="3"/>
    </row>
    <row r="416" spans="1:1" x14ac:dyDescent="0.3">
      <c r="A416" s="3"/>
    </row>
    <row r="417" spans="1:1" x14ac:dyDescent="0.3">
      <c r="A417" s="3"/>
    </row>
    <row r="418" spans="1:1" x14ac:dyDescent="0.3">
      <c r="A418" s="3"/>
    </row>
    <row r="419" spans="1:1" x14ac:dyDescent="0.3">
      <c r="A419" s="3"/>
    </row>
    <row r="420" spans="1:1" x14ac:dyDescent="0.3">
      <c r="A420" s="3"/>
    </row>
    <row r="421" spans="1:1" x14ac:dyDescent="0.3">
      <c r="A421" s="3"/>
    </row>
    <row r="422" spans="1:1" x14ac:dyDescent="0.3">
      <c r="A422" s="3"/>
    </row>
    <row r="423" spans="1:1" x14ac:dyDescent="0.3">
      <c r="A423" s="3"/>
    </row>
    <row r="424" spans="1:1" x14ac:dyDescent="0.3">
      <c r="A424" s="3"/>
    </row>
    <row r="425" spans="1:1" x14ac:dyDescent="0.3">
      <c r="A425" s="3"/>
    </row>
    <row r="426" spans="1:1" x14ac:dyDescent="0.3">
      <c r="A426" s="3"/>
    </row>
    <row r="427" spans="1:1" x14ac:dyDescent="0.3">
      <c r="A427" s="3"/>
    </row>
    <row r="428" spans="1:1" x14ac:dyDescent="0.3">
      <c r="A428" s="3"/>
    </row>
    <row r="429" spans="1:1" x14ac:dyDescent="0.3">
      <c r="A429" s="3"/>
    </row>
    <row r="430" spans="1:1" x14ac:dyDescent="0.3">
      <c r="A430" s="3"/>
    </row>
    <row r="431" spans="1:1" x14ac:dyDescent="0.3">
      <c r="A431" s="3"/>
    </row>
    <row r="432" spans="1:1" x14ac:dyDescent="0.3">
      <c r="A432" s="3"/>
    </row>
    <row r="433" spans="1:1" x14ac:dyDescent="0.3">
      <c r="A433" s="3"/>
    </row>
    <row r="434" spans="1:1" x14ac:dyDescent="0.3">
      <c r="A434" s="3"/>
    </row>
    <row r="435" spans="1:1" x14ac:dyDescent="0.3">
      <c r="A435" s="3"/>
    </row>
    <row r="436" spans="1:1" x14ac:dyDescent="0.3">
      <c r="A436" s="3"/>
    </row>
    <row r="437" spans="1:1" x14ac:dyDescent="0.3">
      <c r="A437" s="3"/>
    </row>
    <row r="438" spans="1:1" x14ac:dyDescent="0.3">
      <c r="A438" s="3"/>
    </row>
    <row r="439" spans="1:1" x14ac:dyDescent="0.3">
      <c r="A439" s="3"/>
    </row>
    <row r="440" spans="1:1" x14ac:dyDescent="0.3">
      <c r="A440" s="3"/>
    </row>
    <row r="441" spans="1:1" x14ac:dyDescent="0.3">
      <c r="A441" s="3"/>
    </row>
    <row r="442" spans="1:1" x14ac:dyDescent="0.3">
      <c r="A442" s="3"/>
    </row>
    <row r="443" spans="1:1" x14ac:dyDescent="0.3">
      <c r="A443" s="3"/>
    </row>
    <row r="444" spans="1:1" x14ac:dyDescent="0.3">
      <c r="A444" s="3"/>
    </row>
    <row r="445" spans="1:1" x14ac:dyDescent="0.3">
      <c r="A445" s="3"/>
    </row>
    <row r="446" spans="1:1" x14ac:dyDescent="0.3">
      <c r="A446" s="3"/>
    </row>
    <row r="447" spans="1:1" x14ac:dyDescent="0.3">
      <c r="A447" s="3"/>
    </row>
    <row r="448" spans="1:1" x14ac:dyDescent="0.3">
      <c r="A448" s="3"/>
    </row>
    <row r="449" spans="1:1" x14ac:dyDescent="0.3">
      <c r="A449" s="3"/>
    </row>
    <row r="450" spans="1:1" x14ac:dyDescent="0.3">
      <c r="A450" s="3"/>
    </row>
    <row r="451" spans="1:1" x14ac:dyDescent="0.3">
      <c r="A451" s="3"/>
    </row>
    <row r="452" spans="1:1" x14ac:dyDescent="0.3">
      <c r="A452" s="3"/>
    </row>
    <row r="453" spans="1:1" x14ac:dyDescent="0.3">
      <c r="A453" s="3"/>
    </row>
    <row r="454" spans="1:1" x14ac:dyDescent="0.3">
      <c r="A454" s="3"/>
    </row>
    <row r="455" spans="1:1" x14ac:dyDescent="0.3">
      <c r="A455" s="3"/>
    </row>
    <row r="456" spans="1:1" x14ac:dyDescent="0.3">
      <c r="A456" s="3"/>
    </row>
    <row r="457" spans="1:1" x14ac:dyDescent="0.3">
      <c r="A457" s="3"/>
    </row>
    <row r="458" spans="1:1" x14ac:dyDescent="0.3">
      <c r="A458" s="3"/>
    </row>
    <row r="459" spans="1:1" x14ac:dyDescent="0.3">
      <c r="A459" s="3"/>
    </row>
    <row r="460" spans="1:1" x14ac:dyDescent="0.3">
      <c r="A460" s="3"/>
    </row>
    <row r="461" spans="1:1" x14ac:dyDescent="0.3">
      <c r="A461" s="3"/>
    </row>
    <row r="462" spans="1:1" x14ac:dyDescent="0.3">
      <c r="A462" s="3"/>
    </row>
    <row r="463" spans="1:1" x14ac:dyDescent="0.3">
      <c r="A463" s="3"/>
    </row>
    <row r="464" spans="1:1" x14ac:dyDescent="0.3">
      <c r="A464" s="3"/>
    </row>
    <row r="465" spans="1:1" x14ac:dyDescent="0.3">
      <c r="A465" s="3"/>
    </row>
    <row r="466" spans="1:1" x14ac:dyDescent="0.3">
      <c r="A466" s="3"/>
    </row>
    <row r="467" spans="1:1" x14ac:dyDescent="0.3">
      <c r="A467" s="3"/>
    </row>
    <row r="468" spans="1:1" x14ac:dyDescent="0.3">
      <c r="A468" s="3"/>
    </row>
    <row r="469" spans="1:1" x14ac:dyDescent="0.3">
      <c r="A469" s="3"/>
    </row>
    <row r="470" spans="1:1" x14ac:dyDescent="0.3">
      <c r="A470" s="3"/>
    </row>
    <row r="471" spans="1:1" x14ac:dyDescent="0.3">
      <c r="A471" s="3"/>
    </row>
    <row r="472" spans="1:1" x14ac:dyDescent="0.3">
      <c r="A472" s="3"/>
    </row>
    <row r="473" spans="1:1" x14ac:dyDescent="0.3">
      <c r="A473" s="3"/>
    </row>
    <row r="474" spans="1:1" x14ac:dyDescent="0.3">
      <c r="A474" s="3"/>
    </row>
    <row r="475" spans="1:1" x14ac:dyDescent="0.3">
      <c r="A475" s="3"/>
    </row>
  </sheetData>
  <mergeCells count="1">
    <mergeCell ref="C2:D2"/>
  </mergeCells>
  <pageMargins left="0.7" right="0.7" top="0.75" bottom="0.75" header="0.3" footer="0.3"/>
  <tableParts count="2">
    <tablePart r:id="rId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1A9D8-36B8-4DA8-A0FE-3C07326BFD10}">
  <sheetPr codeName="Sheet4"/>
  <dimension ref="A1:I33"/>
  <sheetViews>
    <sheetView workbookViewId="0">
      <selection activeCell="G6" sqref="G6"/>
    </sheetView>
  </sheetViews>
  <sheetFormatPr defaultRowHeight="15.6" x14ac:dyDescent="0.3"/>
  <cols>
    <col min="1" max="1" width="15.19921875" bestFit="1" customWidth="1"/>
    <col min="2" max="2" width="21.19921875" bestFit="1" customWidth="1"/>
    <col min="3" max="3" width="22" bestFit="1" customWidth="1"/>
    <col min="4" max="4" width="25.59765625" bestFit="1" customWidth="1"/>
    <col min="5" max="5" width="15.296875" hidden="1" customWidth="1"/>
    <col min="6" max="6" width="0" hidden="1" customWidth="1"/>
    <col min="7" max="7" width="28.69921875" bestFit="1" customWidth="1"/>
    <col min="8" max="8" width="25.59765625" bestFit="1" customWidth="1"/>
    <col min="9" max="9" width="12.69921875" hidden="1" customWidth="1"/>
  </cols>
  <sheetData>
    <row r="1" spans="1:9" x14ac:dyDescent="0.3">
      <c r="A1" s="2" t="s">
        <v>0</v>
      </c>
      <c r="B1" s="4" t="str">
        <f>('Master Table'!H6)</f>
        <v>Emily</v>
      </c>
    </row>
    <row r="2" spans="1:9" x14ac:dyDescent="0.3">
      <c r="C2" s="27" t="s">
        <v>49</v>
      </c>
      <c r="D2" s="28"/>
      <c r="I2" t="s">
        <v>40</v>
      </c>
    </row>
    <row r="3" spans="1:9" x14ac:dyDescent="0.3">
      <c r="A3" s="6" t="s">
        <v>1</v>
      </c>
      <c r="B3" s="6" t="s">
        <v>2</v>
      </c>
      <c r="C3" s="6" t="s">
        <v>3</v>
      </c>
      <c r="D3" s="6" t="s">
        <v>4</v>
      </c>
      <c r="E3" s="14" t="s">
        <v>40</v>
      </c>
      <c r="G3" s="22"/>
      <c r="I3" t="b">
        <v>1</v>
      </c>
    </row>
    <row r="4" spans="1:9" x14ac:dyDescent="0.3">
      <c r="A4" t="s">
        <v>34</v>
      </c>
      <c r="B4" s="8">
        <v>44927</v>
      </c>
      <c r="C4" s="9">
        <v>44928</v>
      </c>
      <c r="D4" s="10">
        <v>44560</v>
      </c>
      <c r="E4" t="b">
        <f ca="1">AND(Table8[[#This Row],[Date Completed]]&gt;=TODAY()-5,Table8[[#This Row],[Date Completed]]&lt;=TODAY())</f>
        <v>1</v>
      </c>
      <c r="G4" s="21"/>
    </row>
    <row r="5" spans="1:9" x14ac:dyDescent="0.3">
      <c r="B5" s="8"/>
      <c r="C5" s="9"/>
      <c r="D5" s="10"/>
      <c r="E5" t="b">
        <f ca="1">AND(Table8[[#This Row],[Date Completed]]&gt;=TODAY()-5,Table8[[#This Row],[Date Completed]]&lt;=TODAY())</f>
        <v>0</v>
      </c>
      <c r="G5" s="21"/>
    </row>
    <row r="6" spans="1:9" x14ac:dyDescent="0.3">
      <c r="B6" s="17"/>
      <c r="C6" s="17"/>
      <c r="D6" s="17"/>
      <c r="E6" s="3" t="b">
        <f ca="1">AND(Table8[[#This Row],[Date Completed]]&gt;=TODAY()-5,Table8[[#This Row],[Date Completed]]&lt;=TODAY())</f>
        <v>0</v>
      </c>
      <c r="G6" s="21"/>
    </row>
    <row r="7" spans="1:9" x14ac:dyDescent="0.3">
      <c r="B7" s="17"/>
      <c r="C7" s="17"/>
      <c r="D7" s="17"/>
      <c r="E7" s="3" t="b">
        <f ca="1">AND(Table8[[#This Row],[Date Completed]]&gt;=TODAY()-5,Table8[[#This Row],[Date Completed]]&lt;=TODAY())</f>
        <v>0</v>
      </c>
      <c r="G7" s="21"/>
    </row>
    <row r="8" spans="1:9" x14ac:dyDescent="0.3">
      <c r="B8" s="17"/>
      <c r="C8" s="17"/>
      <c r="D8" s="17"/>
      <c r="E8" s="3" t="b">
        <f ca="1">AND(Table8[[#This Row],[Date Completed]]&gt;=TODAY()-5,Table8[[#This Row],[Date Completed]]&lt;=TODAY())</f>
        <v>0</v>
      </c>
      <c r="H8" s="19" t="s">
        <v>50</v>
      </c>
    </row>
    <row r="9" spans="1:9" x14ac:dyDescent="0.3">
      <c r="B9" s="17"/>
      <c r="C9" s="17"/>
      <c r="D9" s="17"/>
      <c r="G9" t="s">
        <v>1</v>
      </c>
      <c r="H9" t="s">
        <v>4</v>
      </c>
      <c r="I9" t="s">
        <v>40</v>
      </c>
    </row>
    <row r="10" spans="1:9" x14ac:dyDescent="0.3">
      <c r="B10" s="17"/>
      <c r="C10" s="17"/>
      <c r="D10" s="17"/>
      <c r="G10" t="s">
        <v>34</v>
      </c>
      <c r="H10" s="10">
        <v>44560</v>
      </c>
      <c r="I10" t="b">
        <v>1</v>
      </c>
    </row>
    <row r="11" spans="1:9" x14ac:dyDescent="0.3">
      <c r="B11" s="21"/>
      <c r="C11" s="21"/>
      <c r="D11" s="21"/>
      <c r="H11" s="17"/>
    </row>
    <row r="12" spans="1:9" x14ac:dyDescent="0.3">
      <c r="B12" s="21"/>
      <c r="C12" s="21"/>
      <c r="D12" s="21"/>
    </row>
    <row r="13" spans="1:9" x14ac:dyDescent="0.3">
      <c r="B13" s="21"/>
      <c r="C13" s="21"/>
      <c r="D13" s="21"/>
    </row>
    <row r="14" spans="1:9" x14ac:dyDescent="0.3">
      <c r="B14" s="21"/>
      <c r="C14" s="21"/>
      <c r="D14" s="21"/>
    </row>
    <row r="15" spans="1:9" x14ac:dyDescent="0.3">
      <c r="B15" s="21"/>
      <c r="C15" s="21"/>
      <c r="D15" s="21"/>
    </row>
    <row r="16" spans="1:9" x14ac:dyDescent="0.3">
      <c r="B16" s="21"/>
      <c r="C16" s="21"/>
      <c r="D16" s="21"/>
    </row>
    <row r="17" spans="2:4" x14ac:dyDescent="0.3">
      <c r="B17" s="21"/>
      <c r="C17" s="21"/>
      <c r="D17" s="21"/>
    </row>
    <row r="18" spans="2:4" x14ac:dyDescent="0.3">
      <c r="B18" s="21"/>
      <c r="C18" s="21"/>
      <c r="D18" s="21"/>
    </row>
    <row r="19" spans="2:4" x14ac:dyDescent="0.3">
      <c r="B19" s="21"/>
      <c r="C19" s="21"/>
      <c r="D19" s="21"/>
    </row>
    <row r="20" spans="2:4" x14ac:dyDescent="0.3">
      <c r="B20" s="21"/>
      <c r="C20" s="21"/>
      <c r="D20" s="21"/>
    </row>
    <row r="21" spans="2:4" x14ac:dyDescent="0.3">
      <c r="B21" s="21"/>
      <c r="C21" s="21"/>
      <c r="D21" s="21"/>
    </row>
    <row r="22" spans="2:4" x14ac:dyDescent="0.3">
      <c r="B22" s="21"/>
      <c r="C22" s="21"/>
      <c r="D22" s="21"/>
    </row>
    <row r="23" spans="2:4" x14ac:dyDescent="0.3">
      <c r="B23" s="21"/>
      <c r="C23" s="21"/>
      <c r="D23" s="21"/>
    </row>
    <row r="24" spans="2:4" x14ac:dyDescent="0.3">
      <c r="B24" s="21"/>
      <c r="C24" s="21"/>
      <c r="D24" s="21"/>
    </row>
    <row r="25" spans="2:4" x14ac:dyDescent="0.3">
      <c r="B25" s="21"/>
      <c r="C25" s="21"/>
      <c r="D25" s="21"/>
    </row>
    <row r="26" spans="2:4" x14ac:dyDescent="0.3">
      <c r="B26" s="21"/>
      <c r="C26" s="21"/>
      <c r="D26" s="21"/>
    </row>
    <row r="27" spans="2:4" x14ac:dyDescent="0.3">
      <c r="B27" s="21"/>
      <c r="C27" s="21"/>
      <c r="D27" s="21"/>
    </row>
    <row r="28" spans="2:4" x14ac:dyDescent="0.3">
      <c r="B28" s="21"/>
      <c r="C28" s="21"/>
      <c r="D28" s="21"/>
    </row>
    <row r="29" spans="2:4" x14ac:dyDescent="0.3">
      <c r="B29" s="21"/>
      <c r="C29" s="21"/>
      <c r="D29" s="21"/>
    </row>
    <row r="30" spans="2:4" x14ac:dyDescent="0.3">
      <c r="B30" s="21"/>
      <c r="C30" s="21"/>
      <c r="D30" s="21"/>
    </row>
    <row r="31" spans="2:4" x14ac:dyDescent="0.3">
      <c r="B31" s="21"/>
      <c r="C31" s="21"/>
      <c r="D31" s="21"/>
    </row>
    <row r="32" spans="2:4" x14ac:dyDescent="0.3">
      <c r="B32" s="21"/>
      <c r="C32" s="21"/>
      <c r="D32" s="21"/>
    </row>
    <row r="33" spans="2:4" x14ac:dyDescent="0.3">
      <c r="B33" s="21"/>
      <c r="C33" s="21"/>
      <c r="D33" s="21"/>
    </row>
  </sheetData>
  <mergeCells count="1">
    <mergeCell ref="C2:D2"/>
  </mergeCells>
  <pageMargins left="0.7" right="0.7" top="0.75" bottom="0.75" header="0.3" footer="0.3"/>
  <tableParts count="2">
    <tablePart r:id="rId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E75FD-39FF-49A5-AA0E-DD9DB41754A2}">
  <sheetPr codeName="Sheet5"/>
  <dimension ref="A1:I37"/>
  <sheetViews>
    <sheetView topLeftCell="A3" workbookViewId="0">
      <selection activeCell="G8" sqref="G8"/>
    </sheetView>
  </sheetViews>
  <sheetFormatPr defaultRowHeight="15.6" x14ac:dyDescent="0.3"/>
  <cols>
    <col min="1" max="1" width="15.19921875" bestFit="1" customWidth="1"/>
    <col min="2" max="2" width="25" bestFit="1" customWidth="1"/>
    <col min="3" max="3" width="28" bestFit="1" customWidth="1"/>
    <col min="4" max="4" width="25.8984375" bestFit="1" customWidth="1"/>
    <col min="5" max="5" width="15.296875" hidden="1" customWidth="1"/>
    <col min="6" max="6" width="0" hidden="1" customWidth="1"/>
    <col min="7" max="7" width="28.69921875" bestFit="1" customWidth="1"/>
    <col min="8" max="8" width="25.8984375" bestFit="1" customWidth="1"/>
    <col min="9" max="9" width="12.69921875" hidden="1" customWidth="1"/>
  </cols>
  <sheetData>
    <row r="1" spans="1:9" x14ac:dyDescent="0.3">
      <c r="A1" s="2" t="s">
        <v>0</v>
      </c>
      <c r="B1" s="4" t="str">
        <f>('Master Table'!H7)</f>
        <v>Aarav</v>
      </c>
    </row>
    <row r="2" spans="1:9" x14ac:dyDescent="0.3">
      <c r="C2" s="29" t="s">
        <v>51</v>
      </c>
      <c r="D2" s="25"/>
      <c r="I2" t="s">
        <v>40</v>
      </c>
    </row>
    <row r="3" spans="1:9" x14ac:dyDescent="0.3">
      <c r="A3" s="13" t="s">
        <v>1</v>
      </c>
      <c r="B3" s="13" t="s">
        <v>2</v>
      </c>
      <c r="C3" s="13" t="s">
        <v>3</v>
      </c>
      <c r="D3" s="13" t="s">
        <v>4</v>
      </c>
      <c r="E3" s="13" t="s">
        <v>40</v>
      </c>
      <c r="G3" s="22"/>
      <c r="I3" t="b">
        <v>1</v>
      </c>
    </row>
    <row r="4" spans="1:9" x14ac:dyDescent="0.3">
      <c r="A4" t="s">
        <v>38</v>
      </c>
      <c r="B4" s="8">
        <v>44558</v>
      </c>
      <c r="C4" s="9">
        <v>44559</v>
      </c>
      <c r="D4" s="10">
        <v>44560</v>
      </c>
      <c r="E4" t="b">
        <f ca="1">AND(Table10[[#This Row],[Date Completed]]&gt;=TODAY()-5, Table10[[#This Row],[Date Completed]] &lt;=TODAY())</f>
        <v>1</v>
      </c>
      <c r="G4" s="21"/>
    </row>
    <row r="5" spans="1:9" x14ac:dyDescent="0.3">
      <c r="A5" t="s">
        <v>28</v>
      </c>
      <c r="B5" s="8">
        <v>44927</v>
      </c>
      <c r="C5" s="9">
        <v>44928</v>
      </c>
      <c r="D5" s="10">
        <v>44560</v>
      </c>
      <c r="E5" t="b">
        <f ca="1">AND(Table10[[#This Row],[Date Completed]]&gt;=TODAY()-5, Table10[[#This Row],[Date Completed]] &lt;=TODAY())</f>
        <v>1</v>
      </c>
      <c r="G5" s="21"/>
    </row>
    <row r="6" spans="1:9" x14ac:dyDescent="0.3">
      <c r="A6" t="s">
        <v>29</v>
      </c>
      <c r="B6" s="8">
        <v>44959</v>
      </c>
      <c r="C6" s="9">
        <v>44960</v>
      </c>
      <c r="D6" s="10">
        <v>44560</v>
      </c>
      <c r="E6" s="3" t="b">
        <f ca="1">AND(Table10[[#This Row],[Date Completed]]&gt;=TODAY()-5, Table10[[#This Row],[Date Completed]] &lt;=TODAY())</f>
        <v>1</v>
      </c>
      <c r="G6" s="21"/>
    </row>
    <row r="7" spans="1:9" x14ac:dyDescent="0.3">
      <c r="E7" s="3" t="b">
        <f ca="1">AND(Table10[[#This Row],[Date Completed]]&gt;=TODAY()-5, Table10[[#This Row],[Date Completed]] &lt;=TODAY())</f>
        <v>0</v>
      </c>
      <c r="G7" s="21"/>
    </row>
    <row r="8" spans="1:9" x14ac:dyDescent="0.3">
      <c r="E8" s="3" t="b">
        <f ca="1">AND(Table10[[#This Row],[Date Completed]]&gt;=TODAY()-5, Table10[[#This Row],[Date Completed]] &lt;=TODAY())</f>
        <v>0</v>
      </c>
    </row>
    <row r="9" spans="1:9" x14ac:dyDescent="0.3">
      <c r="E9" s="3" t="b">
        <f ca="1">AND(Table10[[#This Row],[Date Completed]]&gt;=TODAY()-5, Table10[[#This Row],[Date Completed]] &lt;=TODAY())</f>
        <v>0</v>
      </c>
      <c r="H9" s="19" t="s">
        <v>42</v>
      </c>
    </row>
    <row r="10" spans="1:9" x14ac:dyDescent="0.3">
      <c r="G10" t="s">
        <v>1</v>
      </c>
      <c r="H10" t="s">
        <v>4</v>
      </c>
      <c r="I10" t="s">
        <v>40</v>
      </c>
    </row>
    <row r="11" spans="1:9" x14ac:dyDescent="0.3">
      <c r="G11" t="s">
        <v>38</v>
      </c>
      <c r="H11" s="10">
        <v>44560</v>
      </c>
      <c r="I11" t="b">
        <v>1</v>
      </c>
    </row>
    <row r="12" spans="1:9" x14ac:dyDescent="0.3">
      <c r="G12" t="s">
        <v>28</v>
      </c>
      <c r="H12" s="10">
        <v>44560</v>
      </c>
      <c r="I12" t="b">
        <v>1</v>
      </c>
    </row>
    <row r="13" spans="1:9" x14ac:dyDescent="0.3">
      <c r="H13" s="17"/>
    </row>
    <row r="34" spans="9:9" x14ac:dyDescent="0.3">
      <c r="I34" s="3"/>
    </row>
    <row r="35" spans="9:9" x14ac:dyDescent="0.3">
      <c r="I35" s="3"/>
    </row>
    <row r="36" spans="9:9" x14ac:dyDescent="0.3">
      <c r="I36" s="3"/>
    </row>
    <row r="37" spans="9:9" x14ac:dyDescent="0.3">
      <c r="I37" s="3"/>
    </row>
  </sheetData>
  <mergeCells count="1">
    <mergeCell ref="C2:D2"/>
  </mergeCells>
  <pageMargins left="0.7" right="0.7" top="0.75" bottom="0.75" header="0.3" footer="0.3"/>
  <tableParts count="2">
    <tablePart r:id="rId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7D7E2-FB11-4724-9351-BD906F721858}">
  <sheetPr codeName="Sheet2"/>
  <dimension ref="A1:I13"/>
  <sheetViews>
    <sheetView workbookViewId="0">
      <selection activeCell="G9" sqref="G9:H9"/>
    </sheetView>
  </sheetViews>
  <sheetFormatPr defaultRowHeight="15.6" x14ac:dyDescent="0.3"/>
  <cols>
    <col min="1" max="1" width="17.796875" bestFit="1" customWidth="1"/>
    <col min="2" max="2" width="23.796875" bestFit="1" customWidth="1"/>
    <col min="3" max="3" width="22" bestFit="1" customWidth="1"/>
    <col min="4" max="4" width="28" bestFit="1" customWidth="1"/>
    <col min="5" max="5" width="11" hidden="1" customWidth="1"/>
    <col min="6" max="6" width="0" hidden="1" customWidth="1"/>
    <col min="7" max="7" width="28.69921875" style="11" bestFit="1" customWidth="1"/>
    <col min="8" max="8" width="28" bestFit="1" customWidth="1"/>
    <col min="9" max="9" width="12.69921875" hidden="1" customWidth="1"/>
  </cols>
  <sheetData>
    <row r="1" spans="1:9" x14ac:dyDescent="0.3">
      <c r="A1" s="2" t="s">
        <v>0</v>
      </c>
      <c r="B1" s="4" t="str">
        <f>('Master Table'!H8)</f>
        <v>Dwayne</v>
      </c>
    </row>
    <row r="2" spans="1:9" x14ac:dyDescent="0.3">
      <c r="B2" t="s">
        <v>44</v>
      </c>
      <c r="C2" s="29" t="s">
        <v>52</v>
      </c>
      <c r="D2" s="25"/>
      <c r="I2" t="s">
        <v>40</v>
      </c>
    </row>
    <row r="3" spans="1:9" x14ac:dyDescent="0.3">
      <c r="A3" s="13" t="s">
        <v>1</v>
      </c>
      <c r="B3" s="13" t="s">
        <v>2</v>
      </c>
      <c r="C3" s="13" t="s">
        <v>3</v>
      </c>
      <c r="D3" s="13" t="s">
        <v>4</v>
      </c>
      <c r="E3" s="13" t="s">
        <v>40</v>
      </c>
      <c r="G3" s="22"/>
      <c r="I3" t="b">
        <v>1</v>
      </c>
    </row>
    <row r="4" spans="1:9" x14ac:dyDescent="0.3">
      <c r="A4" t="s">
        <v>32</v>
      </c>
      <c r="B4" s="8">
        <v>44927</v>
      </c>
      <c r="C4" s="9">
        <v>44928</v>
      </c>
      <c r="D4" s="10">
        <v>44557</v>
      </c>
      <c r="E4" t="b">
        <f ca="1">AND(Table20[[#This Row],[Date Completed]]&gt;=TODAY()-5,Table20[[#This Row],[Date Completed]]&lt;=TODAY())</f>
        <v>1</v>
      </c>
      <c r="G4" s="23"/>
    </row>
    <row r="5" spans="1:9" x14ac:dyDescent="0.3">
      <c r="A5" t="s">
        <v>35</v>
      </c>
      <c r="B5" s="8">
        <v>44927</v>
      </c>
      <c r="C5" s="9">
        <v>44928</v>
      </c>
      <c r="D5" s="10">
        <v>44531</v>
      </c>
      <c r="E5" t="b">
        <f ca="1">AND(Table20[[#This Row],[Date Completed]]&gt;=TODAY()-5,Table20[[#This Row],[Date Completed]]&lt;=TODAY())</f>
        <v>0</v>
      </c>
      <c r="G5" s="23"/>
    </row>
    <row r="6" spans="1:9" x14ac:dyDescent="0.3">
      <c r="A6" t="s">
        <v>31</v>
      </c>
      <c r="B6" s="8">
        <v>44927</v>
      </c>
      <c r="C6" s="9">
        <v>44928</v>
      </c>
      <c r="D6" s="10">
        <v>44531</v>
      </c>
      <c r="E6" t="b">
        <f ca="1">AND(Table20[[#This Row],[Date Completed]]&gt;=TODAY()-5,Table20[[#This Row],[Date Completed]]&lt;=TODAY())</f>
        <v>0</v>
      </c>
      <c r="G6" s="23"/>
    </row>
    <row r="7" spans="1:9" x14ac:dyDescent="0.3">
      <c r="A7" t="s">
        <v>17</v>
      </c>
      <c r="B7" s="8">
        <v>44927</v>
      </c>
      <c r="C7" s="9">
        <v>44928</v>
      </c>
      <c r="D7" s="10">
        <v>44558</v>
      </c>
      <c r="E7" t="b">
        <f ca="1">AND(Table20[[#This Row],[Date Completed]]&gt;=TODAY()-5,Table20[[#This Row],[Date Completed]]&lt;=TODAY())</f>
        <v>1</v>
      </c>
      <c r="G7" s="23"/>
    </row>
    <row r="8" spans="1:9" x14ac:dyDescent="0.3">
      <c r="B8" s="17"/>
      <c r="C8" s="17"/>
      <c r="D8" s="17"/>
      <c r="H8" s="19" t="s">
        <v>43</v>
      </c>
    </row>
    <row r="9" spans="1:9" x14ac:dyDescent="0.3">
      <c r="G9" s="11" t="s">
        <v>1</v>
      </c>
      <c r="H9" t="s">
        <v>4</v>
      </c>
      <c r="I9" t="s">
        <v>40</v>
      </c>
    </row>
    <row r="10" spans="1:9" x14ac:dyDescent="0.3">
      <c r="G10" t="s">
        <v>32</v>
      </c>
      <c r="H10" s="10">
        <v>44557</v>
      </c>
      <c r="I10" t="b">
        <v>1</v>
      </c>
    </row>
    <row r="11" spans="1:9" x14ac:dyDescent="0.3">
      <c r="G11" t="s">
        <v>17</v>
      </c>
      <c r="H11" s="10">
        <v>44558</v>
      </c>
      <c r="I11" t="b">
        <v>1</v>
      </c>
    </row>
    <row r="12" spans="1:9" x14ac:dyDescent="0.3">
      <c r="G12"/>
      <c r="H12" s="10"/>
    </row>
    <row r="13" spans="1:9" x14ac:dyDescent="0.3">
      <c r="G13"/>
      <c r="H13" s="10"/>
    </row>
  </sheetData>
  <mergeCells count="1">
    <mergeCell ref="C2:D2"/>
  </mergeCells>
  <pageMargins left="0.7" right="0.7" top="0.75" bottom="0.75" header="0.3" footer="0.3"/>
  <tableParts count="2">
    <tablePart r:id="rId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E72066-1591-4757-A69A-6421D90A2F0F}">
  <sheetPr codeName="Sheet6"/>
  <dimension ref="A1:I5"/>
  <sheetViews>
    <sheetView tabSelected="1" workbookViewId="0">
      <selection activeCell="H3" sqref="H3"/>
    </sheetView>
  </sheetViews>
  <sheetFormatPr defaultRowHeight="15.6" x14ac:dyDescent="0.3"/>
  <cols>
    <col min="1" max="1" width="15.19921875" bestFit="1" customWidth="1"/>
    <col min="2" max="2" width="21.19921875" bestFit="1" customWidth="1"/>
    <col min="3" max="3" width="22" bestFit="1" customWidth="1"/>
    <col min="4" max="4" width="25.8984375" bestFit="1" customWidth="1"/>
    <col min="5" max="5" width="12.69921875" customWidth="1"/>
    <col min="7" max="7" width="30.8984375" bestFit="1" customWidth="1"/>
    <col min="8" max="8" width="25.8984375" bestFit="1" customWidth="1"/>
    <col min="9" max="9" width="12.69921875" customWidth="1"/>
  </cols>
  <sheetData>
    <row r="1" spans="1:9" x14ac:dyDescent="0.3">
      <c r="A1" s="2" t="s">
        <v>0</v>
      </c>
      <c r="B1" s="4" t="str">
        <f>('Master Table'!H9)</f>
        <v>Test_Example</v>
      </c>
      <c r="I1" t="s">
        <v>40</v>
      </c>
    </row>
    <row r="2" spans="1:9" x14ac:dyDescent="0.3">
      <c r="C2" s="19" t="s">
        <v>53</v>
      </c>
      <c r="I2" t="b">
        <v>1</v>
      </c>
    </row>
    <row r="3" spans="1:9" x14ac:dyDescent="0.3">
      <c r="A3" s="5" t="s">
        <v>1</v>
      </c>
      <c r="B3" s="6" t="s">
        <v>2</v>
      </c>
      <c r="C3" s="6" t="s">
        <v>3</v>
      </c>
      <c r="D3" s="30" t="s">
        <v>4</v>
      </c>
      <c r="E3" s="14" t="s">
        <v>40</v>
      </c>
      <c r="H3" s="19" t="s">
        <v>54</v>
      </c>
    </row>
    <row r="4" spans="1:9" x14ac:dyDescent="0.3">
      <c r="A4" s="3" t="s">
        <v>13</v>
      </c>
      <c r="B4" s="8">
        <v>44927</v>
      </c>
      <c r="C4" s="9">
        <v>44928</v>
      </c>
      <c r="D4" s="10">
        <v>44560</v>
      </c>
      <c r="E4" t="b">
        <f ca="1">AND(Table3[[#This Row],[Date Completed]]&gt;=TODAY()-5,Table3[[#This Row],[Date Completed]]&lt;=TODAY())</f>
        <v>1</v>
      </c>
      <c r="G4" s="15" t="s">
        <v>1</v>
      </c>
      <c r="H4" s="16" t="s">
        <v>4</v>
      </c>
      <c r="I4" s="16" t="s">
        <v>40</v>
      </c>
    </row>
    <row r="5" spans="1:9" x14ac:dyDescent="0.3">
      <c r="G5" s="3" t="s">
        <v>13</v>
      </c>
      <c r="H5" s="10">
        <v>44560</v>
      </c>
      <c r="I5" t="b">
        <v>1</v>
      </c>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DF4D6A1-7653-48E4-81A2-FA5E68A6869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Master Table</vt:lpstr>
      <vt:lpstr>Jason</vt:lpstr>
      <vt:lpstr>Steve</vt:lpstr>
      <vt:lpstr>Emily</vt:lpstr>
      <vt:lpstr>Aarav</vt:lpstr>
      <vt:lpstr>Dwayne</vt:lpstr>
      <vt:lpstr>Test_Example</vt:lpstr>
      <vt:lpstr>Aarav!Criteria</vt:lpstr>
      <vt:lpstr>Dwayne!Criteria</vt:lpstr>
      <vt:lpstr>Emily!Criteria</vt:lpstr>
      <vt:lpstr>Jason!Criteria</vt:lpstr>
      <vt:lpstr>Steve!Criteria</vt:lpstr>
      <vt:lpstr>Test_Example!Criteria</vt:lpstr>
      <vt:lpstr>Aarav!Extract</vt:lpstr>
      <vt:lpstr>Dwayne!Extract</vt:lpstr>
      <vt:lpstr>Emily!Extract</vt:lpstr>
      <vt:lpstr>Jason!Extract</vt:lpstr>
      <vt:lpstr>Steve!Extract</vt:lpstr>
      <vt:lpstr>Test_Example!Extract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Nicholas Milliken</cp:lastModifiedBy>
  <dcterms:created xsi:type="dcterms:W3CDTF">2021-12-27T14:03:37Z</dcterms:created>
  <dcterms:modified xsi:type="dcterms:W3CDTF">2021-12-31T21:12:33Z</dcterms:modified>
</cp:coreProperties>
</file>